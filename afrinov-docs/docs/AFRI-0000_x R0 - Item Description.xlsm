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frinovsa.sharepoint.com/Shared Documents/02. Spares/A. Enquiry/AFRI-0000 Northam Platinum - Project Description/06-Project Operations/02 - Order/"/>
    </mc:Choice>
  </mc:AlternateContent>
  <xr:revisionPtr revIDLastSave="268" documentId="14_{0C03DDB6-8B14-46AB-B9D4-0DCC9B726863}" xr6:coauthVersionLast="47" xr6:coauthVersionMax="47" xr10:uidLastSave="{BC124C26-2188-4EF2-9A98-A36B88448D1A}"/>
  <bookViews>
    <workbookView xWindow="-28920" yWindow="-1485" windowWidth="29040" windowHeight="15720" activeTab="1" xr2:uid="{00000000-000D-0000-FFFF-FFFF00000000}"/>
  </bookViews>
  <sheets>
    <sheet name="Suppliers (2)" sheetId="5" r:id="rId1"/>
    <sheet name="Inputs" sheetId="2" r:id="rId2"/>
    <sheet name="Order" sheetId="1" r:id="rId3"/>
    <sheet name="Sheet1" sheetId="4" state="hidden" r:id="rId4"/>
  </sheets>
  <definedNames>
    <definedName name="_xleta.OR" hidden="1" xlm="1">#NAME?</definedName>
    <definedName name="ExternalData_1" localSheetId="0" hidden="1">'Suppliers (2)'!$A$1:$M$185</definedName>
    <definedName name="_xlnm.Print_Area" localSheetId="2">Order!$A$1:$K$54</definedName>
    <definedName name="_xlnm.Print_Titles" localSheetId="2">Order!$1:$28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7" i="2" l="1"/>
  <c r="F9" i="2"/>
  <c r="H32" i="1" l="1"/>
  <c r="F32" i="1"/>
  <c r="G31" i="1"/>
  <c r="G32" i="1"/>
  <c r="G33" i="1"/>
  <c r="G34" i="1"/>
  <c r="F31" i="1"/>
  <c r="F33" i="1"/>
  <c r="F34" i="1"/>
  <c r="C31" i="1"/>
  <c r="C32" i="1"/>
  <c r="C33" i="1"/>
  <c r="F27" i="2" l="1"/>
  <c r="F25" i="2"/>
  <c r="F23" i="2"/>
  <c r="F21" i="2"/>
  <c r="F19" i="2"/>
  <c r="F17" i="2"/>
  <c r="F10" i="2"/>
  <c r="J17" i="1" l="1"/>
  <c r="C11" i="1"/>
  <c r="J26" i="1"/>
  <c r="H31" i="1" l="1"/>
  <c r="F9" i="1"/>
  <c r="H34" i="1"/>
  <c r="C34" i="1"/>
  <c r="B31" i="1"/>
  <c r="B32" i="1"/>
  <c r="B33" i="1"/>
  <c r="B34" i="1"/>
  <c r="A31" i="1"/>
  <c r="A32" i="1"/>
  <c r="A33" i="1"/>
  <c r="A34" i="1"/>
  <c r="H33" i="1"/>
  <c r="J16" i="1"/>
  <c r="F30" i="1"/>
  <c r="J27" i="1"/>
  <c r="I32" i="1" l="1"/>
  <c r="J32" i="1" s="1"/>
  <c r="K32" i="1" s="1"/>
  <c r="I34" i="1"/>
  <c r="J34" i="1" s="1"/>
  <c r="K34" i="1" s="1"/>
  <c r="I33" i="1"/>
  <c r="J33" i="1" s="1"/>
  <c r="K33" i="1" s="1"/>
  <c r="I31" i="1"/>
  <c r="J31" i="1" s="1"/>
  <c r="A30" i="1"/>
  <c r="K31" i="1" l="1"/>
  <c r="G30" i="1" l="1"/>
  <c r="C21" i="1"/>
  <c r="C25" i="1"/>
  <c r="C24" i="1"/>
  <c r="C23" i="1"/>
  <c r="K9" i="1"/>
  <c r="H49" i="1"/>
  <c r="A51" i="1" s="1"/>
  <c r="H30" i="1"/>
  <c r="C30" i="1"/>
  <c r="B30" i="1"/>
  <c r="J23" i="1"/>
  <c r="E26" i="1"/>
  <c r="C26" i="1"/>
  <c r="A19" i="1"/>
  <c r="J11" i="1"/>
  <c r="I30" i="1" l="1"/>
  <c r="I35" i="1" s="1"/>
  <c r="J30" i="1" l="1"/>
  <c r="J35" i="1" s="1"/>
  <c r="K30" i="1" l="1"/>
  <c r="K35" i="1" s="1"/>
  <c r="D51" i="1" l="1"/>
  <c r="J21" i="1"/>
  <c r="C13" i="1"/>
  <c r="C16" i="1"/>
  <c r="B19" i="1"/>
  <c r="E16" i="1"/>
  <c r="J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A05235-FADA-480E-8B4E-30D6F77EBE10}" keepAlive="1" name="Query - Suppliers (2)" description="Connection to the 'Suppliers (2)' query in the workbook." type="5" refreshedVersion="8" background="1" saveData="1">
    <dbPr connection="Provider=Microsoft.Mashup.OleDb.1;Data Source=$Workbook$;Location=&quot;Suppliers (2)&quot;;Extended Properties=&quot;&quot;" command="SELECT * FROM [Suppliers (2)]"/>
  </connection>
</connections>
</file>

<file path=xl/sharedStrings.xml><?xml version="1.0" encoding="utf-8"?>
<sst xmlns="http://schemas.openxmlformats.org/spreadsheetml/2006/main" count="1802" uniqueCount="1377">
  <si>
    <t>PURCHASE ORDER No.</t>
  </si>
  <si>
    <t>PAYMENT TERMS</t>
  </si>
  <si>
    <t>PAYMENT MILESTONE</t>
  </si>
  <si>
    <t>SETTLEMENT DISCOUNT</t>
  </si>
  <si>
    <t>CURRENCY</t>
  </si>
  <si>
    <t>AFRINOV CONTACT</t>
  </si>
  <si>
    <t>Country</t>
  </si>
  <si>
    <t>CONTACT PERSON:</t>
  </si>
  <si>
    <t>TEL</t>
  </si>
  <si>
    <t>FAX</t>
  </si>
  <si>
    <t>EMAIL:</t>
  </si>
  <si>
    <t>SUPPLIER INFORMATION</t>
  </si>
  <si>
    <t>DELIVERY INFORMATION</t>
  </si>
  <si>
    <t>DELIVERY TO</t>
  </si>
  <si>
    <t>PENALTIES APPLY TO THIS ORDER</t>
  </si>
  <si>
    <t>NO PENALTIES APPLICABLE TO THIS ORDER</t>
  </si>
  <si>
    <t xml:space="preserve">CONTACT PERSON   </t>
  </si>
  <si>
    <t xml:space="preserve">DELIVERY TO           </t>
  </si>
  <si>
    <t xml:space="preserve">ADDRESS TO            </t>
  </si>
  <si>
    <t xml:space="preserve">CONTACT PERSON  </t>
  </si>
  <si>
    <t xml:space="preserve">PAYMENT TERMS      </t>
  </si>
  <si>
    <t xml:space="preserve">CURRENCY                    </t>
  </si>
  <si>
    <t xml:space="preserve">AFRINOV CONTACT    </t>
  </si>
  <si>
    <t>PROJECT CODE</t>
  </si>
  <si>
    <t>SHIPPING TERMS</t>
  </si>
  <si>
    <t>REMARKS:</t>
  </si>
  <si>
    <t>Code of Conduct</t>
  </si>
  <si>
    <t>Item</t>
  </si>
  <si>
    <t>NET VALUE</t>
  </si>
  <si>
    <t>VAT</t>
  </si>
  <si>
    <t>SUBTOTAL</t>
  </si>
  <si>
    <t>QTY</t>
  </si>
  <si>
    <t>UNIT PRICE</t>
  </si>
  <si>
    <t>DESCRIPTION</t>
  </si>
  <si>
    <t>Units</t>
  </si>
  <si>
    <t>Rev:</t>
  </si>
  <si>
    <t xml:space="preserve">ORIGINATOR: </t>
  </si>
  <si>
    <t>ORIGINATOR:</t>
  </si>
  <si>
    <t>DELIVERY DATE</t>
  </si>
  <si>
    <t>Address 1</t>
  </si>
  <si>
    <t>Address 2</t>
  </si>
  <si>
    <t xml:space="preserve"> </t>
  </si>
  <si>
    <t xml:space="preserve">TOTAL AMOUNT OF PURCHASE ORDER: </t>
  </si>
  <si>
    <t>APPROVER</t>
  </si>
  <si>
    <t xml:space="preserve">AUTHORIZATION </t>
  </si>
  <si>
    <t>SUPPLIER ACCEPTANCE</t>
  </si>
  <si>
    <t>South Africa</t>
  </si>
  <si>
    <t>ZAR</t>
  </si>
  <si>
    <t>ADDRESS</t>
  </si>
  <si>
    <t xml:space="preserve">ORDER DATE                  </t>
  </si>
  <si>
    <t>AFRINOV PTY (LTD) VAT</t>
  </si>
  <si>
    <t>Note: Invoices to be sent to: accounts@afrinov.co.za</t>
  </si>
  <si>
    <t>Approved By Ona Moloane</t>
  </si>
  <si>
    <t xml:space="preserve">SUPPLIER                     </t>
  </si>
  <si>
    <t>00</t>
  </si>
  <si>
    <t>066 589 9802</t>
  </si>
  <si>
    <t>0%</t>
  </si>
  <si>
    <t>Vusi Gxoyiya</t>
  </si>
  <si>
    <t>N/A</t>
  </si>
  <si>
    <t>Delivery To Address</t>
  </si>
  <si>
    <t>Afrinov (PTY) Ltd</t>
  </si>
  <si>
    <t xml:space="preserve">10 Lime Street, Icon Industrial Park </t>
  </si>
  <si>
    <t>Sunderland Ridge, Centurion 0157</t>
  </si>
  <si>
    <t>Stewards &amp; Lloyds</t>
  </si>
  <si>
    <t>ORDE ORDATE</t>
  </si>
  <si>
    <t>VENDOR CODE</t>
  </si>
  <si>
    <t>Address</t>
  </si>
  <si>
    <t>Collection</t>
  </si>
  <si>
    <t>Vendor Code</t>
  </si>
  <si>
    <t>AFRINOV VAT</t>
  </si>
  <si>
    <t>SUPPLIER NAME</t>
  </si>
  <si>
    <t>Gale Matabane</t>
  </si>
  <si>
    <t>Ona Moloane</t>
  </si>
  <si>
    <t>Approved By Gale Matabane</t>
  </si>
  <si>
    <t>Approved By Vusi Gxoyiya</t>
  </si>
  <si>
    <t xml:space="preserve">073 805 9123 </t>
  </si>
  <si>
    <t>065 805 0290</t>
  </si>
  <si>
    <t>VENDOR NAME</t>
  </si>
  <si>
    <t>PHYSICAL ADDRESS</t>
  </si>
  <si>
    <t>CONTACT PERSON</t>
  </si>
  <si>
    <t>CONTACT NUMBER</t>
  </si>
  <si>
    <t>EMAIL ADDRESS</t>
  </si>
  <si>
    <t>WEBSITE</t>
  </si>
  <si>
    <t>SERVICES AND SUPPLIES</t>
  </si>
  <si>
    <t>Column11</t>
  </si>
  <si>
    <t>Column12</t>
  </si>
  <si>
    <t>Column13</t>
  </si>
  <si>
    <t>Amalgum Welding</t>
  </si>
  <si>
    <t>V001</t>
  </si>
  <si>
    <t>23 Grader Road, Unit CO1, Spartan Ext 3</t>
  </si>
  <si>
    <t>Nicole</t>
  </si>
  <si>
    <t>011 452 8413</t>
  </si>
  <si>
    <t>nicole@welding.co.za</t>
  </si>
  <si>
    <t>www.weldingshop.co.za</t>
  </si>
  <si>
    <t>Workshop Welding Equipment</t>
  </si>
  <si>
    <t>30 DAYS NETT</t>
  </si>
  <si>
    <t>EXCLUSIVE AIR</t>
  </si>
  <si>
    <t>V002</t>
  </si>
  <si>
    <t>153 Michelson Road, Beyers Park Boksburg</t>
  </si>
  <si>
    <t>Zelda</t>
  </si>
  <si>
    <t>060 970 5820</t>
  </si>
  <si>
    <t>sales@exclusiveair.co.za</t>
  </si>
  <si>
    <t>www.exclusiveair.co.za</t>
  </si>
  <si>
    <t>Compressor Hire</t>
  </si>
  <si>
    <t>Fast Flame</t>
  </si>
  <si>
    <t>V003</t>
  </si>
  <si>
    <t>6 - 8 Alberdein Street, Roodekop</t>
  </si>
  <si>
    <t>Sean</t>
  </si>
  <si>
    <t>011 866 1740</t>
  </si>
  <si>
    <t>sean@fastflame.co.za</t>
  </si>
  <si>
    <t>www.fastflame.co.za</t>
  </si>
  <si>
    <t>Laser Cut &amp; Machining</t>
  </si>
  <si>
    <t>Forklift Handling</t>
  </si>
  <si>
    <t>V004</t>
  </si>
  <si>
    <t>18 BUNDO ROAD, SEBENZA EDENVALE 1609</t>
  </si>
  <si>
    <t xml:space="preserve">Bradley </t>
  </si>
  <si>
    <t>011 609 1620</t>
  </si>
  <si>
    <t>admin@forklifthandling.com</t>
  </si>
  <si>
    <t>www.forklifthandling.co.za</t>
  </si>
  <si>
    <t>Forklift Hire</t>
  </si>
  <si>
    <t>General Rolling</t>
  </si>
  <si>
    <t>V005</t>
  </si>
  <si>
    <t>10 Blumberg Street, Johannesburg</t>
  </si>
  <si>
    <t>Matthew</t>
  </si>
  <si>
    <t xml:space="preserve">011 474 8723 </t>
  </si>
  <si>
    <t>matthew@generalrolling.co.za</t>
  </si>
  <si>
    <t>www.generalrolling.co.za</t>
  </si>
  <si>
    <t xml:space="preserve">General Steel Rolling Works </t>
  </si>
  <si>
    <t xml:space="preserve">Hydac </t>
  </si>
  <si>
    <t>V006</t>
  </si>
  <si>
    <t>Hydac Technology, Edanvale</t>
  </si>
  <si>
    <t>Lillian</t>
  </si>
  <si>
    <t>011 723 9080</t>
  </si>
  <si>
    <t>Lillian.Obi@hydac.com</t>
  </si>
  <si>
    <t xml:space="preserve">www.hydac.co.za | </t>
  </si>
  <si>
    <t>Hydraulics &amp; Filtrations</t>
  </si>
  <si>
    <t>Hydroscand</t>
  </si>
  <si>
    <t>V007</t>
  </si>
  <si>
    <t xml:space="preserve">1 Makro Place,  Sunnyrock, Germiston </t>
  </si>
  <si>
    <t>Yolande</t>
  </si>
  <si>
    <t>011 450 2030</t>
  </si>
  <si>
    <t>michelle.slabbert@hydroscand.co.za</t>
  </si>
  <si>
    <t>https://www.hydroscand.com/com_en/</t>
  </si>
  <si>
    <t>Hydraulic pipes, fittings and Hoses</t>
  </si>
  <si>
    <t>Insuletric</t>
  </si>
  <si>
    <t>V008</t>
  </si>
  <si>
    <t>229 Leopard Rd East, Sesfontein, Benoni</t>
  </si>
  <si>
    <t>Natalie</t>
  </si>
  <si>
    <t>011 825 5387</t>
  </si>
  <si>
    <t>natalie@insulectric.com</t>
  </si>
  <si>
    <t>www.insulectric.co.za</t>
  </si>
  <si>
    <t>Insulation</t>
  </si>
  <si>
    <t>Joburg Bolt</t>
  </si>
  <si>
    <t>V009</t>
  </si>
  <si>
    <t>1 Ruarg Street, Park Central, Selby</t>
  </si>
  <si>
    <t>Latiefa</t>
  </si>
  <si>
    <t>011 493 1521</t>
  </si>
  <si>
    <t>sales9@joburgboltsales.co.za</t>
  </si>
  <si>
    <t>www.joburgbolt.co.za</t>
  </si>
  <si>
    <t>Fasteners</t>
  </si>
  <si>
    <t>LTM Lasers</t>
  </si>
  <si>
    <t>V010</t>
  </si>
  <si>
    <t>8 Steele Str, Steeldale, Johannesburg</t>
  </si>
  <si>
    <t>Ronnie</t>
  </si>
  <si>
    <t>011 613 1787</t>
  </si>
  <si>
    <t>ronnie@ltmlaser.co.za</t>
  </si>
  <si>
    <t>Moriah Metal</t>
  </si>
  <si>
    <t>V011</t>
  </si>
  <si>
    <t>4C Newgold Street, Boksburg</t>
  </si>
  <si>
    <t>Allister</t>
  </si>
  <si>
    <t>011 974 5959</t>
  </si>
  <si>
    <t>allister@moriahmetals.co.za</t>
  </si>
  <si>
    <t>www.moriahmetals.co.za</t>
  </si>
  <si>
    <t>Steel Machining</t>
  </si>
  <si>
    <t>Nkewu Transport</t>
  </si>
  <si>
    <t>V012</t>
  </si>
  <si>
    <t>57 Edge Street, Klipriver, Gauteng</t>
  </si>
  <si>
    <t>083 408 1366</t>
  </si>
  <si>
    <t>natalie@nkewutransport.co.za</t>
  </si>
  <si>
    <t>Transportation</t>
  </si>
  <si>
    <t>Pferd</t>
  </si>
  <si>
    <t>V013</t>
  </si>
  <si>
    <t xml:space="preserve"> 32 Derrick Road, Spartan</t>
  </si>
  <si>
    <t>Bridgette.Nkosi</t>
  </si>
  <si>
    <t>0112304047</t>
  </si>
  <si>
    <t>Bridgette.Nkosi@pferd.co.za</t>
  </si>
  <si>
    <t>https://za.pferd.com/</t>
  </si>
  <si>
    <t>Plan-It-Safety</t>
  </si>
  <si>
    <t>V014</t>
  </si>
  <si>
    <t>36 Knights Road, Germiston 1400</t>
  </si>
  <si>
    <t>Sales3</t>
  </si>
  <si>
    <t>011 865 5422/3</t>
  </si>
  <si>
    <t>sales3@planitsafety.co.za</t>
  </si>
  <si>
    <t>www.plan-itsafety.co.za</t>
  </si>
  <si>
    <t>PPE Manufacture, Welding Machine Repairs</t>
  </si>
  <si>
    <t>30 Days Nett</t>
  </si>
  <si>
    <t>Rand &amp; Safety</t>
  </si>
  <si>
    <t>V015</t>
  </si>
  <si>
    <t>10 Miracle Park, Tshiomate Close, Centurion</t>
  </si>
  <si>
    <t xml:space="preserve">012 653 2870   </t>
  </si>
  <si>
    <t>www.randsafety.co.za</t>
  </si>
  <si>
    <t>PEE Supply</t>
  </si>
  <si>
    <t>Sinter Plant Services</t>
  </si>
  <si>
    <t>V016</t>
  </si>
  <si>
    <t>Damdoryn, 0280 Portion 70, Hartebeesfontein</t>
  </si>
  <si>
    <t>Marinda</t>
  </si>
  <si>
    <t>012 001 4999 / 071 490 0124</t>
  </si>
  <si>
    <t>marinda@spsplant.com</t>
  </si>
  <si>
    <t xml:space="preserve">Rigging &amp; Site Installtion </t>
  </si>
  <si>
    <t>60 DAYS NETT</t>
  </si>
  <si>
    <t>Special Steel</t>
  </si>
  <si>
    <t>V017</t>
  </si>
  <si>
    <t>562 Crocker Road, Wadeville</t>
  </si>
  <si>
    <t>Claire</t>
  </si>
  <si>
    <t>+27(0)11 865 4939</t>
  </si>
  <si>
    <t>claire@specialsteels.co.za</t>
  </si>
  <si>
    <t>www.specialsteels.co.za</t>
  </si>
  <si>
    <t>Rods, laser cutting</t>
  </si>
  <si>
    <t>V018</t>
  </si>
  <si>
    <t>529 5th Street, Wynberg, Sandton</t>
  </si>
  <si>
    <t>Candice Singer</t>
  </si>
  <si>
    <t>011 321 7909</t>
  </si>
  <si>
    <t>CandiceS@sltrading.co.za</t>
  </si>
  <si>
    <t>https://www.stewartsandlloyds.co.za/</t>
  </si>
  <si>
    <t>Pipes and Fittings</t>
  </si>
  <si>
    <t>TBA Tools</t>
  </si>
  <si>
    <t>V019</t>
  </si>
  <si>
    <t xml:space="preserve">Jacaranda Park No: 2, Unit A1 Jurg Crescent, Centurion </t>
  </si>
  <si>
    <t>Sales</t>
  </si>
  <si>
    <t>012 653 4018</t>
  </si>
  <si>
    <t>sales@tbatools.co.za</t>
  </si>
  <si>
    <t>www.tbatools.co.za</t>
  </si>
  <si>
    <t>Lathe Machine Tool Supplier</t>
  </si>
  <si>
    <t>TW Profile</t>
  </si>
  <si>
    <t>V020</t>
  </si>
  <si>
    <t>20 Craig Road, Anderbolt, Boksburg</t>
  </si>
  <si>
    <t>011 894 3031</t>
  </si>
  <si>
    <t>sales@twprofile.co.za</t>
  </si>
  <si>
    <t>www.twprofile.co.za</t>
  </si>
  <si>
    <t xml:space="preserve">laser Cut &amp; Machining </t>
  </si>
  <si>
    <t>Varcol Paints</t>
  </si>
  <si>
    <t>V021</t>
  </si>
  <si>
    <t> 8 Marconi Nook, Hennops Park, Centurion</t>
  </si>
  <si>
    <t>Devcoat</t>
  </si>
  <si>
    <t>012 653 0095</t>
  </si>
  <si>
    <t xml:space="preserve">devcoat@netactive.co.za </t>
  </si>
  <si>
    <t>www.varcol.co.za</t>
  </si>
  <si>
    <t>Paints</t>
  </si>
  <si>
    <t>Sievert Industrial Suppliers</t>
  </si>
  <si>
    <t>V022</t>
  </si>
  <si>
    <t>No13, Unit 15 Amsterdam Avenue, Johannesburg</t>
  </si>
  <si>
    <t>(011)2290445</t>
  </si>
  <si>
    <t>sales@sievert.co.za</t>
  </si>
  <si>
    <t>https://sievert.co.za/</t>
  </si>
  <si>
    <t>Industrial Supplies</t>
  </si>
  <si>
    <t>Euro Steel Pipes</t>
  </si>
  <si>
    <t>V023</t>
  </si>
  <si>
    <t>331 Dame St, Wadeville, Gauteng,</t>
  </si>
  <si>
    <t>Gnhlapo</t>
  </si>
  <si>
    <t>0119025707</t>
  </si>
  <si>
    <t>GNhlapo@eurosteel.co.za</t>
  </si>
  <si>
    <t>https://www.eurosteel.co.za/stainless-steel/pipes/?gclid=Cj0KCQjwmouZBhDSARIsALYcourIK0CNawxCenWmO7k981Z4dSSQDLJcZ-9txjfsVPta9Ach4nmv-0YaAlr4EALw_wcB</t>
  </si>
  <si>
    <t xml:space="preserve">100% On Order Placement </t>
  </si>
  <si>
    <t>Toco Lifting</t>
  </si>
  <si>
    <t>V024</t>
  </si>
  <si>
    <t>19 Harriet Ave, Driehoek, Germiston</t>
  </si>
  <si>
    <t>Phineas</t>
  </si>
  <si>
    <t>0113458800</t>
  </si>
  <si>
    <t>phineas@toco.co.za</t>
  </si>
  <si>
    <t>BMG</t>
  </si>
  <si>
    <t>V025</t>
  </si>
  <si>
    <t>V026</t>
  </si>
  <si>
    <t>Transvaal Rubber Company (Pty) Ltd</t>
  </si>
  <si>
    <t>V027</t>
  </si>
  <si>
    <t>P.O. Box 839, Crown Mines, Johannesburg Gauteng 2025</t>
  </si>
  <si>
    <t>Hayden Dooley</t>
  </si>
  <si>
    <t>+27 11 839 2370</t>
  </si>
  <si>
    <t>sales5@truco.co.za</t>
  </si>
  <si>
    <t>Rubber, Rubber Hose</t>
  </si>
  <si>
    <t>C.O.D</t>
  </si>
  <si>
    <t>4B GROUP</t>
  </si>
  <si>
    <t>V028</t>
  </si>
  <si>
    <t>14 Newport Business Park, Mica Drive, Kya Sand, Johannesburg, 2163</t>
  </si>
  <si>
    <t>011 708 6114</t>
  </si>
  <si>
    <t>https://go4b.co.uk/en-ZA</t>
  </si>
  <si>
    <t>Bolts, Sprockets, Electronic Minitoring Equipment, Valves. Etc</t>
  </si>
  <si>
    <t>A.P.V.F</t>
  </si>
  <si>
    <t>V029</t>
  </si>
  <si>
    <t>107 Terrace Road, Sebenza, Edenvale, 1609</t>
  </si>
  <si>
    <t>011 452 2197</t>
  </si>
  <si>
    <t>olaf@apvf.co.za</t>
  </si>
  <si>
    <t>http://www.apvf.co.za/</t>
  </si>
  <si>
    <t>Pipes, Valves and Fittings</t>
  </si>
  <si>
    <t>ACDC</t>
  </si>
  <si>
    <t>V030</t>
  </si>
  <si>
    <t>Unit 32 Miracle Park, Corner Lenchen and Old Johannesburg Roads, Rooihuiskraal, Centurion</t>
  </si>
  <si>
    <t>012 003 2030</t>
  </si>
  <si>
    <t>cen.sales6@acdcexpress.com</t>
  </si>
  <si>
    <t xml:space="preserve">www.acdcexpress.co.za </t>
  </si>
  <si>
    <t>Electrical Supply</t>
  </si>
  <si>
    <t>Action Bolt</t>
  </si>
  <si>
    <t>V031</t>
  </si>
  <si>
    <t>39 Kelly Road, Unit A1, The Palisades, Jetpark</t>
  </si>
  <si>
    <t>Christo</t>
  </si>
  <si>
    <t>011 397 7571</t>
  </si>
  <si>
    <t>christo.weir@actionbolt.co.za</t>
  </si>
  <si>
    <t>https://www.actionbolt.co.za/</t>
  </si>
  <si>
    <t>Actom</t>
  </si>
  <si>
    <t>V032</t>
  </si>
  <si>
    <t>Aberdeen Road, Industrial Site, Benoni</t>
  </si>
  <si>
    <t>Cindy</t>
  </si>
  <si>
    <t>011 899 1336</t>
  </si>
  <si>
    <t>cindy.pienaar@actom.co.za</t>
  </si>
  <si>
    <t>www.actom.co.za</t>
  </si>
  <si>
    <t>Electrical Machine Supply</t>
  </si>
  <si>
    <t>Adendorff</t>
  </si>
  <si>
    <t>V033</t>
  </si>
  <si>
    <t>98 Sailor Malan Avenue, Aeroton, Johannesburg</t>
  </si>
  <si>
    <t xml:space="preserve">011 434 7000 </t>
  </si>
  <si>
    <t xml:space="preserve">customercare@adendorff.co.za </t>
  </si>
  <si>
    <t>www.adendorff.co.za</t>
  </si>
  <si>
    <t>Workshop Consumables</t>
  </si>
  <si>
    <t>Afrox</t>
  </si>
  <si>
    <t>V034</t>
  </si>
  <si>
    <t>Cnr Atlas &amp; Top Road, Boksburg</t>
  </si>
  <si>
    <t> 011 894 1076</t>
  </si>
  <si>
    <t xml:space="preserve">eshop.support@afrox.linde.com </t>
  </si>
  <si>
    <t>www.afrox.co.za</t>
  </si>
  <si>
    <t xml:space="preserve">AFROX </t>
  </si>
  <si>
    <t>V035</t>
  </si>
  <si>
    <t>1070 Old Pretoria Rd, Halfway House Estate, Midrand, 1685</t>
  </si>
  <si>
    <t>011 315 0263</t>
  </si>
  <si>
    <t>https://www.afrox.co.za/en/index.html</t>
  </si>
  <si>
    <t>Welding Equipment And Safety</t>
  </si>
  <si>
    <t>Agility Transport</t>
  </si>
  <si>
    <t>V036</t>
  </si>
  <si>
    <t>119 Nelson Road, Booysens, Johannesburg</t>
  </si>
  <si>
    <t>Alberton Steel</t>
  </si>
  <si>
    <t>V037</t>
  </si>
  <si>
    <t>66 Sixth Avenue, Alberton North</t>
  </si>
  <si>
    <t>Jean</t>
  </si>
  <si>
    <t>011 907 6620</t>
  </si>
  <si>
    <t>jean@albertonsteel.co.za</t>
  </si>
  <si>
    <t>www.asapsteel.co.za</t>
  </si>
  <si>
    <t>Alluminium Trading</t>
  </si>
  <si>
    <t>V038</t>
  </si>
  <si>
    <t>128 Terrace Road, Sebenza, Edenvale</t>
  </si>
  <si>
    <t>Donne</t>
  </si>
  <si>
    <t>011 457 7200</t>
  </si>
  <si>
    <t>donne@aluminiumtrading .co.za</t>
  </si>
  <si>
    <t>www.aluminiumtrading.co.za</t>
  </si>
  <si>
    <t xml:space="preserve">Stainless Steel Pipes and Fittings </t>
  </si>
  <si>
    <t>Anon IT Solutions</t>
  </si>
  <si>
    <t>V039</t>
  </si>
  <si>
    <t>Centurion</t>
  </si>
  <si>
    <t>010 001 2960</t>
  </si>
  <si>
    <t>info@anonit.co.za</t>
  </si>
  <si>
    <t>www.anonit.co.za</t>
  </si>
  <si>
    <t>IT Solutions</t>
  </si>
  <si>
    <t>Altitude Workwear</t>
  </si>
  <si>
    <t>V040</t>
  </si>
  <si>
    <t xml:space="preserve"> 46 Fanny Ave, Norwood, Johannesburg, 2192</t>
  </si>
  <si>
    <t>086 174 4387</t>
  </si>
  <si>
    <t>info@amrod.co.za</t>
  </si>
  <si>
    <t>https://www.altitude.co.za/</t>
  </si>
  <si>
    <t>Safety Wear</t>
  </si>
  <si>
    <t>Aluminium Trading Group</t>
  </si>
  <si>
    <t>V041</t>
  </si>
  <si>
    <t>120-128 Terrace Road, Sebenza Edenvale, Gauteng</t>
  </si>
  <si>
    <t>(+27) 011 457-7200</t>
  </si>
  <si>
    <t>N</t>
  </si>
  <si>
    <t>Aluminium &amp;  Stainless Steel</t>
  </si>
  <si>
    <t>ARB</t>
  </si>
  <si>
    <t>V042</t>
  </si>
  <si>
    <t>15-17 Poplar Crescent Lords view, Chloorkop, Midrand</t>
  </si>
  <si>
    <t>Shane</t>
  </si>
  <si>
    <t>011 439 0000</t>
  </si>
  <si>
    <t>shanes@arb.co.za</t>
  </si>
  <si>
    <t>www.arb.co.za</t>
  </si>
  <si>
    <t>Armco</t>
  </si>
  <si>
    <t>V043</t>
  </si>
  <si>
    <t>131 Anvil Road Isando 1600</t>
  </si>
  <si>
    <t>Moti</t>
  </si>
  <si>
    <t>011 974 8511</t>
  </si>
  <si>
    <t>moti.reshwin@armco.co.za</t>
  </si>
  <si>
    <t xml:space="preserve">www.armco.co.za </t>
  </si>
  <si>
    <t xml:space="preserve">Galvanising </t>
  </si>
  <si>
    <t>AUMA</t>
  </si>
  <si>
    <t>V044</t>
  </si>
  <si>
    <t>1 Carel Lotter Street Nuffield, Springs, 1559</t>
  </si>
  <si>
    <t xml:space="preserve">Andries </t>
  </si>
  <si>
    <t>011 363 2880</t>
  </si>
  <si>
    <t>andries@auma.co.za</t>
  </si>
  <si>
    <t>https://www.auma.com/en/</t>
  </si>
  <si>
    <t>Actuators And Valves</t>
  </si>
  <si>
    <t>Aveng Media</t>
  </si>
  <si>
    <t>V045</t>
  </si>
  <si>
    <t>5th floor, Boland Bank Building, 18 Lower Burg Street</t>
  </si>
  <si>
    <t xml:space="preserve">Lunga </t>
  </si>
  <si>
    <t>021 418 3090</t>
  </si>
  <si>
    <t>lunga@avengmedia.co.za</t>
  </si>
  <si>
    <t>www.avengmedia.co.za</t>
  </si>
  <si>
    <t>Advertising</t>
  </si>
  <si>
    <t>Basetsana Ba Tlotla Basadi</t>
  </si>
  <si>
    <t>V046</t>
  </si>
  <si>
    <t>38614 Cornwell Street, Brakpan</t>
  </si>
  <si>
    <t>Basetsana</t>
  </si>
  <si>
    <t>081 436 4658</t>
  </si>
  <si>
    <t>basetsanabtb@gmail.com</t>
  </si>
  <si>
    <t>Gas Refill</t>
  </si>
  <si>
    <t>Bennies</t>
  </si>
  <si>
    <t>V047</t>
  </si>
  <si>
    <t>1 Wells Road, Woodbrook, East London</t>
  </si>
  <si>
    <t>043 731 1355</t>
  </si>
  <si>
    <t>gdupreez@benniesweld.co.za</t>
  </si>
  <si>
    <t>Crane Hiring</t>
  </si>
  <si>
    <t>V048</t>
  </si>
  <si>
    <t>3 Droste Cresent, Droste Park Ext 7, Jeppestwon</t>
  </si>
  <si>
    <t>Thomas</t>
  </si>
  <si>
    <t>011 620 7421</t>
  </si>
  <si>
    <t>thomasw@bmgworld.net</t>
  </si>
  <si>
    <t>www.bmgworld.net</t>
  </si>
  <si>
    <t>Bolt Engineering</t>
  </si>
  <si>
    <t>V049</t>
  </si>
  <si>
    <t>127 Snapper Road, Wadeville</t>
  </si>
  <si>
    <t>011 824 7500</t>
  </si>
  <si>
    <t>sales@bolteng.co.za</t>
  </si>
  <si>
    <t>www.bolteng.co.za</t>
  </si>
  <si>
    <t>Fasteners Supply</t>
  </si>
  <si>
    <t xml:space="preserve">Baofn </t>
  </si>
  <si>
    <t>V050</t>
  </si>
  <si>
    <t>24 Rudo Nell Rd ,Boksburg</t>
  </si>
  <si>
    <t>Wesley</t>
  </si>
  <si>
    <t>011 823 2697</t>
  </si>
  <si>
    <t>wesley@baofn.co.za</t>
  </si>
  <si>
    <t>www.baofn.co.za</t>
  </si>
  <si>
    <t>Air Compressor</t>
  </si>
  <si>
    <t>Bolt Fast</t>
  </si>
  <si>
    <t>V051</t>
  </si>
  <si>
    <t>63 Jurg Avenue, Hennopspark Ext 7, Centurion</t>
  </si>
  <si>
    <t>Mienkie</t>
  </si>
  <si>
    <t>012 653 2534</t>
  </si>
  <si>
    <t>mienkie@boltfast.co.za</t>
  </si>
  <si>
    <t>www.boltfast.co.za</t>
  </si>
  <si>
    <t>Fastners</t>
  </si>
  <si>
    <t>BSI Steel</t>
  </si>
  <si>
    <t>V052</t>
  </si>
  <si>
    <t>Erf 24 Farm Waterval M61, Kliprivier Gauteng</t>
  </si>
  <si>
    <t>011 861 7600</t>
  </si>
  <si>
    <t>info@bsisteel.com</t>
  </si>
  <si>
    <t>https://www.bsisteel.co.za/</t>
  </si>
  <si>
    <t>C Steinweg Logistics (Pty) Ltd</t>
  </si>
  <si>
    <t>V053</t>
  </si>
  <si>
    <t xml:space="preserve">1 Bridge Close, City Deep, Johannesburg </t>
  </si>
  <si>
    <t>Clinto</t>
  </si>
  <si>
    <t>011 625 3273</t>
  </si>
  <si>
    <t>Clinton.Ruthven@za.steinweg.com</t>
  </si>
  <si>
    <t>www.steinweg.com</t>
  </si>
  <si>
    <t>International Freight Services</t>
  </si>
  <si>
    <t>Cascade</t>
  </si>
  <si>
    <t>V054</t>
  </si>
  <si>
    <t>Corner Lantern and, Bream Rd, Wadeville, Germiston, 1401</t>
  </si>
  <si>
    <t>011 824 3943</t>
  </si>
  <si>
    <t>info@cascade.co.za</t>
  </si>
  <si>
    <t>https://www.cascade.co.za/</t>
  </si>
  <si>
    <t>Stainless Steel Pipes Repair Clamps</t>
  </si>
  <si>
    <t>Chamberlain</t>
  </si>
  <si>
    <t>V055</t>
  </si>
  <si>
    <t>230 15th Ave, Rietfontein, Pretoria</t>
  </si>
  <si>
    <t>012 356 9500</t>
  </si>
  <si>
    <t>info@fhchamberlain.co.za</t>
  </si>
  <si>
    <t>www.chamberlains.co.za</t>
  </si>
  <si>
    <t>Premier Workwear</t>
  </si>
  <si>
    <t>V056</t>
  </si>
  <si>
    <t>12 jersey drive longmeadow Business Estate Johannesburg</t>
  </si>
  <si>
    <t>Lorriane</t>
  </si>
  <si>
    <t>011 496 1208</t>
  </si>
  <si>
    <t>lorriane2primierworkwear</t>
  </si>
  <si>
    <t>www.premierworkwear.co.za</t>
  </si>
  <si>
    <t>workwear</t>
  </si>
  <si>
    <t>Container World</t>
  </si>
  <si>
    <t>V057</t>
  </si>
  <si>
    <t>16 Director Road, Airport Industrial Estate, Isando</t>
  </si>
  <si>
    <t>Kgomotso</t>
  </si>
  <si>
    <t>011 392 1284</t>
  </si>
  <si>
    <t>kgomotso@containerworld.co.za</t>
  </si>
  <si>
    <t>www.containerworld.co.za</t>
  </si>
  <si>
    <t>New &amp; Used Containers</t>
  </si>
  <si>
    <t>Dalucon</t>
  </si>
  <si>
    <t>V058</t>
  </si>
  <si>
    <t>95 Park Avenue North,Halfway business Park, Rooihuiskraal</t>
  </si>
  <si>
    <t>012 661 8480</t>
  </si>
  <si>
    <t>info@dalucon.co.za</t>
  </si>
  <si>
    <t>https://www.dalucon.co.za/</t>
  </si>
  <si>
    <t>Thermal Insulation Pannel</t>
  </si>
  <si>
    <t xml:space="preserve">DFC </t>
  </si>
  <si>
    <t>V059</t>
  </si>
  <si>
    <t>32 Lincoln Rd, Industrial Sites | Benoni South  </t>
  </si>
  <si>
    <t>John</t>
  </si>
  <si>
    <t>011 748 0200</t>
  </si>
  <si>
    <t>John.Vilakazi@dfc.co.za</t>
  </si>
  <si>
    <t>www.dfc.co.za</t>
  </si>
  <si>
    <t>Valves Supply</t>
  </si>
  <si>
    <t>Dromex</t>
  </si>
  <si>
    <t>V060</t>
  </si>
  <si>
    <t>15E Riley Road, Riley Rd Office Park Ln, Bedfordview, Germiston, 2007</t>
  </si>
  <si>
    <t>011 450 0444</t>
  </si>
  <si>
    <t>info@dromex.co.za</t>
  </si>
  <si>
    <t>https://www.dromex.co.za/</t>
  </si>
  <si>
    <t>Digital Finger Prints</t>
  </si>
  <si>
    <t>V061</t>
  </si>
  <si>
    <t>546 16th Rd, Randjespark, Midrand, 1685</t>
  </si>
  <si>
    <t>079 100 5171</t>
  </si>
  <si>
    <t>info@digitalfingerprint.co.za</t>
  </si>
  <si>
    <t>https://www.digitalfingerprint.co.za/contact</t>
  </si>
  <si>
    <t>Telecommunications, Engineering &amp; IT Solutions</t>
  </si>
  <si>
    <t>Finlay Oil Coolers</t>
  </si>
  <si>
    <t>V062</t>
  </si>
  <si>
    <t>Unit 15 Greengate Business park, Ibis Lane, Beyers Naudé Dr, Muldersdrift, 1740</t>
  </si>
  <si>
    <t>082 413 0456</t>
  </si>
  <si>
    <t>finoilco@yebo.co.za</t>
  </si>
  <si>
    <t>www.finlayoilcoolers.co.za</t>
  </si>
  <si>
    <t>Heat Exchangers</t>
  </si>
  <si>
    <t>Flowbins</t>
  </si>
  <si>
    <t>V063</t>
  </si>
  <si>
    <t>508 transnet Ave Capital Park Pretoria</t>
  </si>
  <si>
    <t>Carlos</t>
  </si>
  <si>
    <t>062 420 8256</t>
  </si>
  <si>
    <t>carlos@flowbins.co.za</t>
  </si>
  <si>
    <t>www.flowbins.co.za</t>
  </si>
  <si>
    <t>water bowser,chemical trailer</t>
  </si>
  <si>
    <t>Frigipan</t>
  </si>
  <si>
    <t>V064</t>
  </si>
  <si>
    <t>Plot 251, Van Der Hoff Rd, Zandfontein 317-Jr, Pretoria</t>
  </si>
  <si>
    <t>Riaan</t>
  </si>
  <si>
    <t>012 752 8765</t>
  </si>
  <si>
    <t>riaan@frigipan.co.za</t>
  </si>
  <si>
    <t>www.frigipan.co.za</t>
  </si>
  <si>
    <t>Chromadek</t>
  </si>
  <si>
    <t>Goodwin</t>
  </si>
  <si>
    <t>V065</t>
  </si>
  <si>
    <t xml:space="preserve">011 568 9877 </t>
  </si>
  <si>
    <t>asittert@goodwingroups.com</t>
  </si>
  <si>
    <t>www.goodwininternationalpumps.com</t>
  </si>
  <si>
    <t>Pumps</t>
  </si>
  <si>
    <t>Giancarlo Carrozzo</t>
  </si>
  <si>
    <t>V066</t>
  </si>
  <si>
    <t>Giancar</t>
  </si>
  <si>
    <t>011 914 4610</t>
  </si>
  <si>
    <t>giancarlo@rely.co.za</t>
  </si>
  <si>
    <t>https://rely.co.za</t>
  </si>
  <si>
    <t>Casting</t>
  </si>
  <si>
    <t>Gradco SA</t>
  </si>
  <si>
    <t>V067</t>
  </si>
  <si>
    <t>Suite MW 70, Graspan road, Middleburg, Mpumalanga</t>
  </si>
  <si>
    <t>013 241 7977/8/9</t>
  </si>
  <si>
    <t>admin@gradco.co.za</t>
  </si>
  <si>
    <t>https://gradcosa.co.za/</t>
  </si>
  <si>
    <t>HDPE Pipes, Bends and Fittings</t>
  </si>
  <si>
    <t>Grating Centre</t>
  </si>
  <si>
    <t>V068</t>
  </si>
  <si>
    <t>Cnr. Buite Street &amp; Jacoba , Alberton</t>
  </si>
  <si>
    <t>011 865 5555</t>
  </si>
  <si>
    <t>mail@gratingcentre.co.za</t>
  </si>
  <si>
    <t>www. Gratingcentre.co.za</t>
  </si>
  <si>
    <t>Grating Supply</t>
  </si>
  <si>
    <t>Hansa Flex</t>
  </si>
  <si>
    <t>V069</t>
  </si>
  <si>
    <t>39 Steel Road Spartan, 1619, Kempton Park, 1620</t>
  </si>
  <si>
    <t>Greg Coertzen</t>
  </si>
  <si>
    <t>011 394 2966</t>
  </si>
  <si>
    <t>greg.coertzen-flex.com</t>
  </si>
  <si>
    <t>https://za.hansa-flex.com/index.html</t>
  </si>
  <si>
    <t>Flare connections, valves, pipes, flanges, fitting accessories, Hydraulic Hose</t>
  </si>
  <si>
    <t>Hennox Supplies</t>
  </si>
  <si>
    <t>V070</t>
  </si>
  <si>
    <t>1 Quality Rd, Isando, Edenvale, 1619</t>
  </si>
  <si>
    <t>Matlou</t>
  </si>
  <si>
    <t>011 397 6319</t>
  </si>
  <si>
    <t>matlou@hennoxsupplies.co.za</t>
  </si>
  <si>
    <t>https://hennoxsupplies.co.za/</t>
  </si>
  <si>
    <t>High Grade Springs</t>
  </si>
  <si>
    <t>V071</t>
  </si>
  <si>
    <t xml:space="preserve">674 Barlow Street, Germiston Ext 5 </t>
  </si>
  <si>
    <t xml:space="preserve">011 873 2512 </t>
  </si>
  <si>
    <t>sales@higradespring.co.za</t>
  </si>
  <si>
    <t>www.hi-gradespring.co.za</t>
  </si>
  <si>
    <t>Springs supply</t>
  </si>
  <si>
    <t>Hawk</t>
  </si>
  <si>
    <t>V072</t>
  </si>
  <si>
    <t>38 ingwe road Sebanza Edenvale Gauteng</t>
  </si>
  <si>
    <t>011 822 4039</t>
  </si>
  <si>
    <t>jhbsales1@hawkpump.co.za</t>
  </si>
  <si>
    <t>www.hawkpumps.co.za</t>
  </si>
  <si>
    <t>Anicic Engineering</t>
  </si>
  <si>
    <t>V073</t>
  </si>
  <si>
    <t>13 Apex Rd Benoni 1501</t>
  </si>
  <si>
    <t>(011) 027 4472</t>
  </si>
  <si>
    <t>sales@anicic.co.za</t>
  </si>
  <si>
    <t xml:space="preserve">Machining </t>
  </si>
  <si>
    <t>Hire All</t>
  </si>
  <si>
    <t>V074</t>
  </si>
  <si>
    <t>3 Airbus Close, Lanseria Branch, Lanseria</t>
  </si>
  <si>
    <t>Keyacc</t>
  </si>
  <si>
    <t>011 474 4555</t>
  </si>
  <si>
    <t>keyacc@hireall.co.za</t>
  </si>
  <si>
    <t>www.hireall.co.za</t>
  </si>
  <si>
    <t>Compressor  Supply</t>
  </si>
  <si>
    <t xml:space="preserve">Innomatic </t>
  </si>
  <si>
    <t>V075</t>
  </si>
  <si>
    <t xml:space="preserve">72 Kyalami Boulevard, Kyalami </t>
  </si>
  <si>
    <t>011 840 0840</t>
  </si>
  <si>
    <t>sales@innomatic.co.za</t>
  </si>
  <si>
    <t>http://www.innomatic-solar.co.za/index.php</t>
  </si>
  <si>
    <t xml:space="preserve">Electricals </t>
  </si>
  <si>
    <t>Insta Fire</t>
  </si>
  <si>
    <t>V076</t>
  </si>
  <si>
    <t>39 Thora Crescent, Corner 5th Street, Wynberg</t>
  </si>
  <si>
    <t>010 023 0029</t>
  </si>
  <si>
    <t>service@intasafety.co.za</t>
  </si>
  <si>
    <t>www.intasafety.co.za</t>
  </si>
  <si>
    <t>Fire Extinguishers</t>
  </si>
  <si>
    <t>Isotec</t>
  </si>
  <si>
    <t>V077</t>
  </si>
  <si>
    <t>19 Botha Street, Alrode</t>
  </si>
  <si>
    <t xml:space="preserve">010 006 0746 </t>
  </si>
  <si>
    <t>icmadmin@Isotec.co.za</t>
  </si>
  <si>
    <t>www.isotec.co.za</t>
  </si>
  <si>
    <t>Insulation Supply</t>
  </si>
  <si>
    <t>Jacobs Transports</t>
  </si>
  <si>
    <t>V078</t>
  </si>
  <si>
    <t>15 Garfield Road, Alrode, Alberton, 1451</t>
  </si>
  <si>
    <t>Lee-Anne</t>
  </si>
  <si>
    <t>+27 10 200 9946</t>
  </si>
  <si>
    <t>Lee-Anne@jacobstransport.co.za</t>
  </si>
  <si>
    <t>https://www.jacobstransport.co.za/</t>
  </si>
  <si>
    <t>Rigging, Lifting, Moving</t>
  </si>
  <si>
    <t>Job Trans</t>
  </si>
  <si>
    <t>V079</t>
  </si>
  <si>
    <t>16 Lemmer Road, Vulcania, Brakpan</t>
  </si>
  <si>
    <t>Charles</t>
  </si>
  <si>
    <t>011 741 0014</t>
  </si>
  <si>
    <t>charles@jobe-trans.co.za</t>
  </si>
  <si>
    <t>www.jobetrans.co.za</t>
  </si>
  <si>
    <t xml:space="preserve">  </t>
  </si>
  <si>
    <t>JTB Industrial Solutions Pty Ltd</t>
  </si>
  <si>
    <t>V080</t>
  </si>
  <si>
    <t>Fabriek Street 23 Graphite Industrial Park, Strydom Park 2169</t>
  </si>
  <si>
    <t>011 234 1521</t>
  </si>
  <si>
    <t>sales@jtbind.co.za</t>
  </si>
  <si>
    <t>www.jtbind.co.za</t>
  </si>
  <si>
    <t>Tooling For Milling Machine, Drill Bits</t>
  </si>
  <si>
    <t>Kenflex</t>
  </si>
  <si>
    <t>V081</t>
  </si>
  <si>
    <t>2 Hebel Rd, Unit 5 Roodepoort, Industrial Park,</t>
  </si>
  <si>
    <t>011 472 2324</t>
  </si>
  <si>
    <t>sales@kenflex.co.za</t>
  </si>
  <si>
    <t>www.kenflex.co.za</t>
  </si>
  <si>
    <t>Bellow Supply</t>
  </si>
  <si>
    <t>KRAM Engineering</t>
  </si>
  <si>
    <t>V082</t>
  </si>
  <si>
    <t>No 6 Wolverhampton Street, Apex Benoni</t>
  </si>
  <si>
    <t>+27 11 077 8674</t>
  </si>
  <si>
    <t>info@kramengineering.co.za</t>
  </si>
  <si>
    <t>www.welding-alloys.com</t>
  </si>
  <si>
    <t>Ceramic Lining</t>
  </si>
  <si>
    <t>Kiloton</t>
  </si>
  <si>
    <t>V083</t>
  </si>
  <si>
    <t xml:space="preserve">64 General Smuts Road, Duncanville, Vereening </t>
  </si>
  <si>
    <t>Gpnorth</t>
  </si>
  <si>
    <t>065 554 9905</t>
  </si>
  <si>
    <t>gpnorth@kiloton.co.za</t>
  </si>
  <si>
    <t>www.kiloton.co.za</t>
  </si>
  <si>
    <t>Hyraulics, Pneumatics, Tools, Abrasives</t>
  </si>
  <si>
    <t>KRM WATER - Oasis Vorna Valley</t>
  </si>
  <si>
    <t>V084</t>
  </si>
  <si>
    <t>48 Jamie Uys Street, Vorna Valley, Midrand</t>
  </si>
  <si>
    <t>011 312 9305</t>
  </si>
  <si>
    <t>vornavalley@oasiswater.co.za</t>
  </si>
  <si>
    <t>Water Supply</t>
  </si>
  <si>
    <t>KTS Technical</t>
  </si>
  <si>
    <t>V085</t>
  </si>
  <si>
    <t>Unit 9, Canberra,  Industrial Park, Jetpark</t>
  </si>
  <si>
    <t>Kushatataku</t>
  </si>
  <si>
    <t>071 061 0588</t>
  </si>
  <si>
    <t>kushatataku@gmail.com</t>
  </si>
  <si>
    <t>www.ktstechnical.co.za</t>
  </si>
  <si>
    <t>Leo Hydraulic</t>
  </si>
  <si>
    <t>V086</t>
  </si>
  <si>
    <t>4 Molekule Street, Chloorkop, Kempton Park</t>
  </si>
  <si>
    <t>Vicky</t>
  </si>
  <si>
    <t>011 976 1941/45</t>
  </si>
  <si>
    <t>vicky@leohydraulics.co.za</t>
  </si>
  <si>
    <t>https://leohydraulics.co.za/</t>
  </si>
  <si>
    <t>Pumps and Valves Supply</t>
  </si>
  <si>
    <t>Letaba Pumps</t>
  </si>
  <si>
    <t>V087</t>
  </si>
  <si>
    <t>11 Avalon Rd, Modderfontein, Johannesburg, 1645</t>
  </si>
  <si>
    <t>011 923 7000</t>
  </si>
  <si>
    <t>SALES@LETABAPUMPS.CO.ZA</t>
  </si>
  <si>
    <t>http://www.letabapumps.co.za/</t>
  </si>
  <si>
    <t>Liftcor</t>
  </si>
  <si>
    <t>V088</t>
  </si>
  <si>
    <t>Unit 3, Westhills Estate, 324 Cloud St, Sunderland Ridge, Centurion</t>
  </si>
  <si>
    <t>012 111 0070</t>
  </si>
  <si>
    <t>sales@liftcor.co.za</t>
  </si>
  <si>
    <t>www.liftcor.co.za</t>
  </si>
  <si>
    <t>Forklift Maintenance</t>
  </si>
  <si>
    <t>Liquid Telecommunications</t>
  </si>
  <si>
    <t>V089</t>
  </si>
  <si>
    <t>401 Old Pretoria Road, Midrand</t>
  </si>
  <si>
    <t>011 774 1366</t>
  </si>
  <si>
    <t>za.EBUCollections@liquid.tech</t>
  </si>
  <si>
    <t>Internet and Telephones</t>
  </si>
  <si>
    <t>LSG Machine Tools</t>
  </si>
  <si>
    <t>V090</t>
  </si>
  <si>
    <t>4 Tide Street, Industrial East, Germiston</t>
  </si>
  <si>
    <t>011 873 3446</t>
  </si>
  <si>
    <t>info@Lsgmts.co.za</t>
  </si>
  <si>
    <t>www.lsgmts.co.za</t>
  </si>
  <si>
    <t>Workshop Lathe Machine Material</t>
  </si>
  <si>
    <t>LionScope Consulting</t>
  </si>
  <si>
    <t>V091</t>
  </si>
  <si>
    <t>13 Heimwee Street</t>
  </si>
  <si>
    <t>Isaac</t>
  </si>
  <si>
    <t>063 175 4779</t>
  </si>
  <si>
    <t>isaac@lionscope.co.za</t>
  </si>
  <si>
    <t>https:lionscope.co.za</t>
  </si>
  <si>
    <t>Forklift, First Aid, Crane Training</t>
  </si>
  <si>
    <t>MacSteel</t>
  </si>
  <si>
    <t>V092</t>
  </si>
  <si>
    <t xml:space="preserve">Cnr. Simon Bekker &amp; Crompton Roads, Germiston </t>
  </si>
  <si>
    <t>Patrick.Fourie</t>
  </si>
  <si>
    <t xml:space="preserve">011 871 4600 </t>
  </si>
  <si>
    <t>patrick.fourie@macsteel.co.za</t>
  </si>
  <si>
    <t>https://macsteel.co.za/?gclid=Cj0KCQjwmouZBhDSARIsALYcouqv4AKxLJzuY9e9WVpTEd6gDGzEfvAiOSk75stpZtMyCYEuxkf7T4AaAlyzEALw_wcB</t>
  </si>
  <si>
    <t>Mapa Cleaning Technologies</t>
  </si>
  <si>
    <t>V093</t>
  </si>
  <si>
    <t>75 Regency Drive, Route 21 Corporate Park, Irene, Centurion, 0157</t>
  </si>
  <si>
    <t>Workshop</t>
  </si>
  <si>
    <t>011 608 3290</t>
  </si>
  <si>
    <t>workshop@mapa.co.za</t>
  </si>
  <si>
    <t>www.mapa.co.za</t>
  </si>
  <si>
    <t>Cleaning Technologies</t>
  </si>
  <si>
    <t>Matase</t>
  </si>
  <si>
    <t>V094</t>
  </si>
  <si>
    <t>20A Dan Jacobs Street, Alrode, Alberton</t>
  </si>
  <si>
    <t>011 864 2584</t>
  </si>
  <si>
    <t>Nicole@matase.co.za</t>
  </si>
  <si>
    <t>www.matase.co.za</t>
  </si>
  <si>
    <t>Generator supply and services</t>
  </si>
  <si>
    <t>Phillips Global</t>
  </si>
  <si>
    <t>V095</t>
  </si>
  <si>
    <t>13 celsius street,Vaalbank,Middleburg</t>
  </si>
  <si>
    <t>Patric</t>
  </si>
  <si>
    <t>013 2468800</t>
  </si>
  <si>
    <t>patric@phillipsglobal.co.za</t>
  </si>
  <si>
    <t>www.phillipsglobal.co.za</t>
  </si>
  <si>
    <t>parts and service</t>
  </si>
  <si>
    <t>Tri-pump</t>
  </si>
  <si>
    <t>V096</t>
  </si>
  <si>
    <t>32 herman  road meadowdale johannesburg</t>
  </si>
  <si>
    <t>Hermanvr</t>
  </si>
  <si>
    <t>011 609 5240</t>
  </si>
  <si>
    <t>hermanvr@tripump.com</t>
  </si>
  <si>
    <t>www.tripump.com</t>
  </si>
  <si>
    <t>Pumps suply</t>
  </si>
  <si>
    <t>Mayibuye i-Afrika Trading</t>
  </si>
  <si>
    <t>V097</t>
  </si>
  <si>
    <t>526 Constantia Office Park 16th Road, Midrand 1685</t>
  </si>
  <si>
    <t>Abraham</t>
  </si>
  <si>
    <t>(087) 701 6314</t>
  </si>
  <si>
    <t>abraham@m-iafrika.co.za</t>
  </si>
  <si>
    <t>www.m-iafrika.co.za</t>
  </si>
  <si>
    <t xml:space="preserve">Civil Engineering </t>
  </si>
  <si>
    <t>Mine Africa</t>
  </si>
  <si>
    <t>V098</t>
  </si>
  <si>
    <t>Unit 13 Oaklane Office Park, 111 Grippen Road, Bartletts</t>
  </si>
  <si>
    <t>011 918 9776</t>
  </si>
  <si>
    <t>sales6@mineafrica.co.za</t>
  </si>
  <si>
    <t>www.mineafrica.co.za</t>
  </si>
  <si>
    <t>PPE Supply</t>
  </si>
  <si>
    <t>Mine Track &amp; Tools</t>
  </si>
  <si>
    <t>V099</t>
  </si>
  <si>
    <t>Main Reef Main Rte, Uitvalfontein 244-Iq, Randfontein</t>
  </si>
  <si>
    <t>Info</t>
  </si>
  <si>
    <t>082 8211 910</t>
  </si>
  <si>
    <t>info@minetrack.co.za</t>
  </si>
  <si>
    <t>http://www.minetrack.co.za/</t>
  </si>
  <si>
    <t>MINEXX ENGINEERING</t>
  </si>
  <si>
    <t>V100</t>
  </si>
  <si>
    <t>144 CIRCUIT RD BEYERSPARK GAUTENG 1459</t>
  </si>
  <si>
    <t>062 851 7460</t>
  </si>
  <si>
    <t>bongani@minexx.co.za</t>
  </si>
  <si>
    <t>Hoses, Flexibles Fabrication</t>
  </si>
  <si>
    <t>Mining Pressure System</t>
  </si>
  <si>
    <t>V101</t>
  </si>
  <si>
    <t>Cnr. Paul Smit &amp; Skew Road, Dunswart, Boksburg North</t>
  </si>
  <si>
    <t>Fred</t>
  </si>
  <si>
    <t>011 918 4750</t>
  </si>
  <si>
    <t>Fred@miningpressure.co.za</t>
  </si>
  <si>
    <t>www.miningpressure.co.za</t>
  </si>
  <si>
    <t>Minuteman Press</t>
  </si>
  <si>
    <t>V102</t>
  </si>
  <si>
    <t>Gallagher Corner, Block C, Unit 7, Midrand</t>
  </si>
  <si>
    <t>011 315 9000</t>
  </si>
  <si>
    <t>sales@mmp-midrand.co.za</t>
  </si>
  <si>
    <t>www.midrand.minutemanpress.co.za</t>
  </si>
  <si>
    <t>Banners, Signs, Business Cards</t>
  </si>
  <si>
    <t>MSV</t>
  </si>
  <si>
    <t>V103</t>
  </si>
  <si>
    <t>1575 Staal road, Knights, Germiston 1401, Gauteng</t>
  </si>
  <si>
    <t>011 822 1802</t>
  </si>
  <si>
    <t>matthew@msv.co.za</t>
  </si>
  <si>
    <t>https://msv.co.za/</t>
  </si>
  <si>
    <t xml:space="preserve">Nexus Sealing Solutions </t>
  </si>
  <si>
    <t>V104</t>
  </si>
  <si>
    <t>9 David St, Malvern, Johannesburg, 2094</t>
  </si>
  <si>
    <t>066 484 0178</t>
  </si>
  <si>
    <t>info@nexusseals.co.</t>
  </si>
  <si>
    <t>https://www.nexusseals.com/</t>
  </si>
  <si>
    <t>Engineering Seals</t>
  </si>
  <si>
    <t xml:space="preserve">Nicro Pump &amp; Valve </t>
  </si>
  <si>
    <t>V105</t>
  </si>
  <si>
    <t>15 Nasmith Avenue, Driehoek Ext.4, Germiston</t>
  </si>
  <si>
    <t>Garth</t>
  </si>
  <si>
    <t>+27(0)11 873 2036</t>
  </si>
  <si>
    <t>garth@nicropv.co.za</t>
  </si>
  <si>
    <t>www.nocropumpandvalve.co.za</t>
  </si>
  <si>
    <t>Pumps &amp; Valves</t>
  </si>
  <si>
    <t>Northern Bolt</t>
  </si>
  <si>
    <t>V106</t>
  </si>
  <si>
    <t>Shop 1, The Link, Old Pretoria Road, Halfway House</t>
  </si>
  <si>
    <t>010 822 3902</t>
  </si>
  <si>
    <t>sales@northernbolt.co.za</t>
  </si>
  <si>
    <t>www.northern-bolt-tool.myshopify.com</t>
  </si>
  <si>
    <t xml:space="preserve">Fasteners </t>
  </si>
  <si>
    <t>Odyssey Steel (PTY) Ltd</t>
  </si>
  <si>
    <t>V107</t>
  </si>
  <si>
    <t>6 Bream Rd, Wadeville, Johannesburg, 1422</t>
  </si>
  <si>
    <t>Godfrey</t>
  </si>
  <si>
    <t>011 824 5005</t>
  </si>
  <si>
    <t>godfrey@odysseysteel.co.za</t>
  </si>
  <si>
    <t xml:space="preserve">Steel Material </t>
  </si>
  <si>
    <t>Orange Trailer Hire</t>
  </si>
  <si>
    <t>V108</t>
  </si>
  <si>
    <t>986 Main Road, Kyalami</t>
  </si>
  <si>
    <t>082 058 4444</t>
  </si>
  <si>
    <t>info@orangetrailers.co.za</t>
  </si>
  <si>
    <t>Trailer Hiring</t>
  </si>
  <si>
    <t>Pinnacle</t>
  </si>
  <si>
    <t>V109</t>
  </si>
  <si>
    <t>451 Bergvlei Road, Wadeville Ext 5, Germiston</t>
  </si>
  <si>
    <t>011 824 0001</t>
  </si>
  <si>
    <t>sales10@pinnacleweld.co.za</t>
  </si>
  <si>
    <t>www.pinnacleweld.co.za</t>
  </si>
  <si>
    <t xml:space="preserve">Workshop PPE, Welding material </t>
  </si>
  <si>
    <t>Plasma Cut</t>
  </si>
  <si>
    <t>V110</t>
  </si>
  <si>
    <t>331 Dame Street, Wadeville, Germiston</t>
  </si>
  <si>
    <t>011 902 5550</t>
  </si>
  <si>
    <t>sales@plasmacut.co.za</t>
  </si>
  <si>
    <t xml:space="preserve"> www.plasmacut.co.za</t>
  </si>
  <si>
    <t>Stainless steel Laser Cut</t>
  </si>
  <si>
    <t>Power Truck Hire</t>
  </si>
  <si>
    <t>V111</t>
  </si>
  <si>
    <t>18 Derrick Road I Spartan I Kempton Park I 1620</t>
  </si>
  <si>
    <t>Emily</t>
  </si>
  <si>
    <t>+27 11 394 3685</t>
  </si>
  <si>
    <t>Emily@spartantruckhire.co.za</t>
  </si>
  <si>
    <t>https://www.spartantruckhire.co.za</t>
  </si>
  <si>
    <t>Transportation Trucks</t>
  </si>
  <si>
    <t>Process Pipes</t>
  </si>
  <si>
    <t>V112</t>
  </si>
  <si>
    <t>5C Fuchs Street, Alrode, Alberton</t>
  </si>
  <si>
    <t>Sebastiaans</t>
  </si>
  <si>
    <t>011 609 2066</t>
  </si>
  <si>
    <t>SebastiaanS@processpipejhb.co.za</t>
  </si>
  <si>
    <t>https://www.processpipe.co.za/</t>
  </si>
  <si>
    <t>Pure Stainless Steel</t>
  </si>
  <si>
    <t>V113</t>
  </si>
  <si>
    <t>12 4th Avenue, Vorsterskroon, Nigel</t>
  </si>
  <si>
    <t>Natarcha</t>
  </si>
  <si>
    <t xml:space="preserve">011 814-8214/5  </t>
  </si>
  <si>
    <t>natarcha@purestainless.co.za</t>
  </si>
  <si>
    <t>https://www.purestainless.co.za/</t>
  </si>
  <si>
    <t>QUALITY TUBE SERVICES</t>
  </si>
  <si>
    <t>V114</t>
  </si>
  <si>
    <t>462 Ketton Road, Wadeville Germistion 1428 South Africa</t>
  </si>
  <si>
    <t>+27 11 865 5554</t>
  </si>
  <si>
    <t>qualitytube@mweb.co.za</t>
  </si>
  <si>
    <t>https://qualitytube.co.za/</t>
  </si>
  <si>
    <t>Pipes, Flanges, Fittings, HDPE - Plastics</t>
  </si>
  <si>
    <t>Quantum Furniture</t>
  </si>
  <si>
    <t>V115</t>
  </si>
  <si>
    <t>60 3rd Avenue, Northmead, Benoni</t>
  </si>
  <si>
    <t>Natasha</t>
  </si>
  <si>
    <t>011 425 5506</t>
  </si>
  <si>
    <t>Natasha@quantumoffice.co.za</t>
  </si>
  <si>
    <t>www.quantumoffice.co.za</t>
  </si>
  <si>
    <t>Office Furniture</t>
  </si>
  <si>
    <t>Quantum Steel</t>
  </si>
  <si>
    <t>V116</t>
  </si>
  <si>
    <t>201 Immelman Road, Cnr. Bristal Street Wadevile</t>
  </si>
  <si>
    <t>Dean</t>
  </si>
  <si>
    <t>011 824 1694</t>
  </si>
  <si>
    <t>dean@quantumsteel.co.za</t>
  </si>
  <si>
    <t>www.quantumsteel.co.za</t>
  </si>
  <si>
    <t>Mild Steel Plates</t>
  </si>
  <si>
    <t xml:space="preserve">Reef Profile </t>
  </si>
  <si>
    <t>V117</t>
  </si>
  <si>
    <t>102A Clarke Street North, Alrode</t>
  </si>
  <si>
    <t>011 864 2614</t>
  </si>
  <si>
    <t>internalsales2@reefprofile.co.za</t>
  </si>
  <si>
    <t>www.reefprofile.co.za</t>
  </si>
  <si>
    <t>Reseauhype (Pty) Ltd</t>
  </si>
  <si>
    <t>V118</t>
  </si>
  <si>
    <t>Unit 4 Hilltop Lofts, 856 Looper Street Carlswald, Midrand</t>
  </si>
  <si>
    <t>082 428 0310</t>
  </si>
  <si>
    <t>sandile.mhlungu@reseauhype.co.za</t>
  </si>
  <si>
    <t>Roto Pumps</t>
  </si>
  <si>
    <t>V119</t>
  </si>
  <si>
    <t>Unit 4 Monit House 168 Vanderbijl street,Gemiston</t>
  </si>
  <si>
    <t>082 899 7281</t>
  </si>
  <si>
    <t>gauteng1@rotopumps.co.za</t>
  </si>
  <si>
    <t>www.rotopumps.co.za</t>
  </si>
  <si>
    <t>Pumps supply</t>
  </si>
  <si>
    <t>Ricktech</t>
  </si>
  <si>
    <t>V120</t>
  </si>
  <si>
    <t>101 Industrial Estate, 101 15th Avenue, Anderbolt, Boksburg</t>
  </si>
  <si>
    <t>Ricky</t>
  </si>
  <si>
    <t>087 351 5764</t>
  </si>
  <si>
    <t>ricky@ricktech.co.za</t>
  </si>
  <si>
    <t>Hcp Pump</t>
  </si>
  <si>
    <t>V121</t>
  </si>
  <si>
    <t>33 Mopedi road ,Sebenza,Edenvale</t>
  </si>
  <si>
    <t>082 416 6322</t>
  </si>
  <si>
    <t>info@hcppumps.co.za</t>
  </si>
  <si>
    <t>www.hpcpumps.co.za</t>
  </si>
  <si>
    <t>V122</t>
  </si>
  <si>
    <t>083 228 3666</t>
  </si>
  <si>
    <t>ridgepowdersurface@gmail.com</t>
  </si>
  <si>
    <t>www.macpromanufacturing.com</t>
  </si>
  <si>
    <t>Galvanising, Electro Plating</t>
  </si>
  <si>
    <t>Roll Fab</t>
  </si>
  <si>
    <t>V123</t>
  </si>
  <si>
    <t>Corner Kent &amp; All Black Road, Anderbolt, Boksburg</t>
  </si>
  <si>
    <t>Russel</t>
  </si>
  <si>
    <t xml:space="preserve">011 626 1914 </t>
  </si>
  <si>
    <t>russel@rollfab.co.za</t>
  </si>
  <si>
    <t>www.rollfab.co.za</t>
  </si>
  <si>
    <t>Royal Majestic</t>
  </si>
  <si>
    <t>V124</t>
  </si>
  <si>
    <t>Cnr. Barrage Road, Malan Street, Noordloch, Vandebijlpark</t>
  </si>
  <si>
    <t>Andrea</t>
  </si>
  <si>
    <t>016 987 3250</t>
  </si>
  <si>
    <t>andrea@royalmajestic.co.za</t>
  </si>
  <si>
    <t>www.royalmajestic.co.za</t>
  </si>
  <si>
    <t>HDPE Bends and Fittings</t>
  </si>
  <si>
    <t>Rubber Rite</t>
  </si>
  <si>
    <t>V125</t>
  </si>
  <si>
    <t>Unit 6, Diamond Park, Hennopspark, Centurion</t>
  </si>
  <si>
    <t>012 327 7984</t>
  </si>
  <si>
    <t>centurion@rubberite.co.za</t>
  </si>
  <si>
    <t>www.rubberite.co.za</t>
  </si>
  <si>
    <t>Rubber Supply</t>
  </si>
  <si>
    <t>Seals Galore</t>
  </si>
  <si>
    <t>V126</t>
  </si>
  <si>
    <t>Lakeside Industrial Village, Corner Kelly Road, 7 Estee Ackerman St Jet Park</t>
  </si>
  <si>
    <t>011 397 6929</t>
  </si>
  <si>
    <t>sales@sealsgalore.co.za</t>
  </si>
  <si>
    <t>O-rings Supplier</t>
  </si>
  <si>
    <t>Sheq Safety Supplies</t>
  </si>
  <si>
    <t>V127</t>
  </si>
  <si>
    <t>Plot 14, Hugo Road, Heuningklip, Krugersdorp, 1739</t>
  </si>
  <si>
    <t>Elma</t>
  </si>
  <si>
    <t>082 534 4190</t>
  </si>
  <si>
    <t>elma@saharaworkwear.com</t>
  </si>
  <si>
    <t>https://sheqsafety.co.za/</t>
  </si>
  <si>
    <t>Shosholoza Technologies</t>
  </si>
  <si>
    <t>V128</t>
  </si>
  <si>
    <t xml:space="preserve"> Unit 12, Kemp’s Business Park, 16 Vuurslag Ave, Spartan, Kempton Park, 1459</t>
  </si>
  <si>
    <t>011 027 5677</t>
  </si>
  <si>
    <t>sales@shosholozatech.co.za</t>
  </si>
  <si>
    <t>http://shosholozatech.co.za/</t>
  </si>
  <si>
    <t>Hydraulics (BMG Competitor)</t>
  </si>
  <si>
    <t>Sign Boards</t>
  </si>
  <si>
    <t>V129</t>
  </si>
  <si>
    <t>257 Friederiche Str, Wierda Park Centurion</t>
  </si>
  <si>
    <t>082 588 5713</t>
  </si>
  <si>
    <t>info@signboards.co.za</t>
  </si>
  <si>
    <t>www.signboards.co.za</t>
  </si>
  <si>
    <t>Signage &amp; Print Specialists</t>
  </si>
  <si>
    <t>Signarama</t>
  </si>
  <si>
    <t>V130</t>
  </si>
  <si>
    <t xml:space="preserve">Unit D046 Midrand Allandale, Industrial Park, Corner Le Roux </t>
  </si>
  <si>
    <t>010 109 6961</t>
  </si>
  <si>
    <t>midrand.admin@signarama.co.za</t>
  </si>
  <si>
    <t>https://www.signarama.co.za/store/midrand?gclid=Cj0KCQjwmouZBhDSARIsALYcour0Rf_xIZpOAD8cZBuPI8Vcgz0y7U6CubhfiseUlAIkaEoA30p43d8aAiU0EALw_wcB</t>
  </si>
  <si>
    <t>Smile Well Industrial Supplies</t>
  </si>
  <si>
    <t>V131</t>
  </si>
  <si>
    <t>7 Venus Road, Atlasville, Boksburg</t>
  </si>
  <si>
    <t>Collen</t>
  </si>
  <si>
    <t>011 395 4695</t>
  </si>
  <si>
    <t>collen@smilewell.co.za</t>
  </si>
  <si>
    <t>Bimetal Bend Saw Blades and PPE</t>
  </si>
  <si>
    <t xml:space="preserve">SM Trading </t>
  </si>
  <si>
    <t>V132</t>
  </si>
  <si>
    <t>14 Douglas Road, Glen Austin, Midrand Johannesburg</t>
  </si>
  <si>
    <t>076 156 1541</t>
  </si>
  <si>
    <t>sales03@smtrading.co.za</t>
  </si>
  <si>
    <t>First Aid Training, Crane Training, Forklift Training</t>
  </si>
  <si>
    <t>Shafteng Engineering</t>
  </si>
  <si>
    <t>V133</t>
  </si>
  <si>
    <t>16 Strauss Crescent wadevile</t>
  </si>
  <si>
    <t>Jvoster</t>
  </si>
  <si>
    <t>083 378 2750</t>
  </si>
  <si>
    <t>jvoster@shafteng.co.za</t>
  </si>
  <si>
    <t>www.shafteng.co.za</t>
  </si>
  <si>
    <t>conveyor Pulleys</t>
  </si>
  <si>
    <t>Steel Bank</t>
  </si>
  <si>
    <t>V134</t>
  </si>
  <si>
    <t>8 Juyn Street, Alrode, Alberton</t>
  </si>
  <si>
    <t>011 201 5900</t>
  </si>
  <si>
    <t>steelbankgauteng@steelbank.co.za</t>
  </si>
  <si>
    <t>https://www.steelbankstainless.co.za/products/stainless-steel/stainless-steel-sheet/</t>
  </si>
  <si>
    <t>SteelMor</t>
  </si>
  <si>
    <t>V135</t>
  </si>
  <si>
    <t>Cnr. Apex &amp; Rotterdam Road, Industrial Site, Benoni</t>
  </si>
  <si>
    <t>Steven</t>
  </si>
  <si>
    <t>011 747 5720</t>
  </si>
  <si>
    <t>steven@steelmor.co.za</t>
  </si>
  <si>
    <t>www.steelmor.co.za</t>
  </si>
  <si>
    <t>Stefmet Technologies</t>
  </si>
  <si>
    <t>V136</t>
  </si>
  <si>
    <t>072 122 7888</t>
  </si>
  <si>
    <t>eddie@stefmet.co.za</t>
  </si>
  <si>
    <t>www.stefmet.co.za</t>
  </si>
  <si>
    <t>Steel Fabrication, Ceramic Lining</t>
  </si>
  <si>
    <t>Stoncor</t>
  </si>
  <si>
    <t>V137</t>
  </si>
  <si>
    <t>8 Cresset Road,  Industrial Park, Midrand</t>
  </si>
  <si>
    <t>Kmyburgh</t>
  </si>
  <si>
    <t>011 254 5500</t>
  </si>
  <si>
    <t xml:space="preserve">kmyburgh@stoncor.com </t>
  </si>
  <si>
    <t>www.stoncor.co.za</t>
  </si>
  <si>
    <t xml:space="preserve">Storm Machinery </t>
  </si>
  <si>
    <t>V138</t>
  </si>
  <si>
    <t>Top Rd &amp;, Main Rd, Anderbolt, Boksburg, 1459</t>
  </si>
  <si>
    <t>Jl</t>
  </si>
  <si>
    <t>011 894 2005</t>
  </si>
  <si>
    <t>jl@stormmachinery.co.za</t>
  </si>
  <si>
    <t>https://www.stormmachinery.co.za/sa2016/</t>
  </si>
  <si>
    <t>Spray painting &amp; abrasive blasting equipment</t>
  </si>
  <si>
    <t>Struts Africa</t>
  </si>
  <si>
    <t>V139</t>
  </si>
  <si>
    <t>Unit 15 George Palmer Business Park Burry Koen Street Jet Park</t>
  </si>
  <si>
    <t>Elbie</t>
  </si>
  <si>
    <t>010 312 5234</t>
  </si>
  <si>
    <t>elbie@strutsafrica.co.za</t>
  </si>
  <si>
    <t>www.strutsafrica.co.za</t>
  </si>
  <si>
    <t>Gas and lockable springs and acuators</t>
  </si>
  <si>
    <t>STRAT TRAINING (PTY) LTD</t>
  </si>
  <si>
    <t>V140</t>
  </si>
  <si>
    <t>Highveld Ext 7, Centurion 0169</t>
  </si>
  <si>
    <t>(012) 752-8841</t>
  </si>
  <si>
    <t>training@strattraining.co.za</t>
  </si>
  <si>
    <t>Working At Heights Training</t>
  </si>
  <si>
    <t>Super Pipe SA</t>
  </si>
  <si>
    <t>V141</t>
  </si>
  <si>
    <t>588 Greenstone Drive, Edenvale</t>
  </si>
  <si>
    <t>Matake</t>
  </si>
  <si>
    <t>(+2768) 234-0000</t>
  </si>
  <si>
    <t>matake@superpipesa.co.za</t>
  </si>
  <si>
    <t>Economiser Tubes, Pneumatic Conveying Systems, Valves</t>
  </si>
  <si>
    <t xml:space="preserve">Super Rent </t>
  </si>
  <si>
    <t>V142</t>
  </si>
  <si>
    <t>Plot 14 Kruger Avenue, Centurion</t>
  </si>
  <si>
    <t>011 387 3366</t>
  </si>
  <si>
    <t>https://superrent.co.za/</t>
  </si>
  <si>
    <t>Logistics</t>
  </si>
  <si>
    <t>Technical Spring Works</t>
  </si>
  <si>
    <t>V143</t>
  </si>
  <si>
    <t>208 Guthrie Road Wadeville</t>
  </si>
  <si>
    <t>Zeyn</t>
  </si>
  <si>
    <t>011 824 1167  </t>
  </si>
  <si>
    <t>zeyn@springworks.co.za</t>
  </si>
  <si>
    <t xml:space="preserve">www.springworks.co.za </t>
  </si>
  <si>
    <t>The Dished End Company</t>
  </si>
  <si>
    <t>V144</t>
  </si>
  <si>
    <t>30 N Reef Rd, Rietfontein 63-Ir, Germiston, 1401</t>
  </si>
  <si>
    <t>Noel</t>
  </si>
  <si>
    <t>011 822 4550</t>
  </si>
  <si>
    <t>noel@tdec.co.za</t>
  </si>
  <si>
    <t>https://tdec.co.za/wp/</t>
  </si>
  <si>
    <t>Dished End Manufacturing</t>
  </si>
  <si>
    <t xml:space="preserve">The Garage </t>
  </si>
  <si>
    <t>V145</t>
  </si>
  <si>
    <t>Cnr Old Johannesburg Road and Lenchen Avenue, Centurion Lifestyle centre</t>
  </si>
  <si>
    <t>010 023 3406</t>
  </si>
  <si>
    <t>centurion@thegaragesa.com</t>
  </si>
  <si>
    <t>Car Service</t>
  </si>
  <si>
    <t>THT Tool &amp; Machinery</t>
  </si>
  <si>
    <t>V146</t>
  </si>
  <si>
    <t>570 Trichardt Road, Ravenswood Ext. 63, Boksburg</t>
  </si>
  <si>
    <t>011 918 1773 </t>
  </si>
  <si>
    <t>info@thttools.co.za</t>
  </si>
  <si>
    <t>www.thttools.co.za</t>
  </si>
  <si>
    <t>Workshop Tools</t>
  </si>
  <si>
    <t>Truco</t>
  </si>
  <si>
    <t>V147</t>
  </si>
  <si>
    <t>20 Lepus Road, Crown Mines, Johannesburg</t>
  </si>
  <si>
    <t>011 839 2370</t>
  </si>
  <si>
    <t xml:space="preserve"> infodesk@truco.co.za</t>
  </si>
  <si>
    <t>www.trucosa.co.za</t>
  </si>
  <si>
    <t>Tuxedo Steel</t>
  </si>
  <si>
    <t>V148</t>
  </si>
  <si>
    <t>Unit 4  8A Steele Steet, Steeldale, Johannesburg</t>
  </si>
  <si>
    <t>Ishmael.Moloi</t>
  </si>
  <si>
    <t>011 613 3091</t>
  </si>
  <si>
    <t>ishmael.moloi@tuxedoeng.com</t>
  </si>
  <si>
    <t>www.tuxedoeng.com</t>
  </si>
  <si>
    <t>Wood, Plasting, Rubber blades supply</t>
  </si>
  <si>
    <t>TWR Steel</t>
  </si>
  <si>
    <t>V149</t>
  </si>
  <si>
    <t>14 Graniet Street, Jetpark, Boksburg</t>
  </si>
  <si>
    <t>011 578 8880</t>
  </si>
  <si>
    <t>sales@twrsteel.co.za</t>
  </si>
  <si>
    <t>www.twrsteel.co.za</t>
  </si>
  <si>
    <t>Valmet Flow Control South Africa</t>
  </si>
  <si>
    <t>V150</t>
  </si>
  <si>
    <t>Unit 16, Brentwood Business Park, 37 Rd No3, Brentwood Park</t>
  </si>
  <si>
    <t>073 035 2689</t>
  </si>
  <si>
    <t>yengo.nlandu@valmet.com</t>
  </si>
  <si>
    <t>Pumps, Valves</t>
  </si>
  <si>
    <t>Valve &amp; Automation (Pty) Ltd</t>
  </si>
  <si>
    <t>V151</t>
  </si>
  <si>
    <t>North, Unit 32 Airborne Park 11 Taljaard Road, Bartlett Boksburg, Johannesburg, 1459</t>
  </si>
  <si>
    <t>Johan.Vanzyl</t>
  </si>
  <si>
    <t>083 321 4960</t>
  </si>
  <si>
    <t>johan.vanzyl@valve.co.za</t>
  </si>
  <si>
    <t>https://valve.co.za/</t>
  </si>
  <si>
    <t>Vital Engineering</t>
  </si>
  <si>
    <t>V152</t>
  </si>
  <si>
    <t>Lea Road, Boksburg, Gauteng</t>
  </si>
  <si>
    <t>Nikila</t>
  </si>
  <si>
    <t xml:space="preserve">011 898 8538 </t>
  </si>
  <si>
    <t>nikila@gratings.co.za</t>
  </si>
  <si>
    <t>www.vitagrid.com</t>
  </si>
  <si>
    <t>Wire Mesh Supply</t>
  </si>
  <si>
    <t>Waltons</t>
  </si>
  <si>
    <t>V153</t>
  </si>
  <si>
    <t>Entrance 3 Pencil Park, Croxley Close, Heriotdale ext 15, Germiston 1401 </t>
  </si>
  <si>
    <t>Lnomtyala</t>
  </si>
  <si>
    <t>0860 333 032</t>
  </si>
  <si>
    <t>LNomtyala@gp.waltons.co.za</t>
  </si>
  <si>
    <t>www.waltons.co.za</t>
  </si>
  <si>
    <t>Stationery Supply</t>
  </si>
  <si>
    <t>Castolin</t>
  </si>
  <si>
    <t>V154</t>
  </si>
  <si>
    <t>P.O box 18656 jezabel Ali Freezone,Dubai</t>
  </si>
  <si>
    <t>Mayank.Saxena</t>
  </si>
  <si>
    <t>(+251)944 098 170</t>
  </si>
  <si>
    <t>mayank.saxena@castolin.com</t>
  </si>
  <si>
    <t>www.castolin.com</t>
  </si>
  <si>
    <t>castolin</t>
  </si>
  <si>
    <t>Silo Services Africa</t>
  </si>
  <si>
    <t>V155</t>
  </si>
  <si>
    <t>Plot 21, 51 Van Schalkwyk Street, Krausville AH, Pretoria 0068</t>
  </si>
  <si>
    <t>James.Morrish</t>
  </si>
  <si>
    <t xml:space="preserve">072 434 3994  </t>
  </si>
  <si>
    <t>james.morrish@siloservicesafrica.com</t>
  </si>
  <si>
    <t xml:space="preserve">siloservicesafrica.com    </t>
  </si>
  <si>
    <t>Silos Related Supply</t>
  </si>
  <si>
    <t>Sydlaw Works</t>
  </si>
  <si>
    <t>V156</t>
  </si>
  <si>
    <t>The Warren, No 4 Valley road, Knoppieslaagte, Mnandi Centurion</t>
  </si>
  <si>
    <t>067 211 0084</t>
  </si>
  <si>
    <t>sydlawworkspallets@gmail.com</t>
  </si>
  <si>
    <t xml:space="preserve">Pallets &amp; Wooden Storage </t>
  </si>
  <si>
    <t>Ksb Pumps</t>
  </si>
  <si>
    <t>V157</t>
  </si>
  <si>
    <t>Corner North Reef Road and Activia Road, Activia Park, Germiston 1401, Johannesburg, Republic of South Africa,</t>
  </si>
  <si>
    <t>011 876-5600</t>
  </si>
  <si>
    <t>Johnny.Tjie@ksb.com</t>
  </si>
  <si>
    <t>www.ksbpumps.co.za</t>
  </si>
  <si>
    <t>Pumps, Valves Supply</t>
  </si>
  <si>
    <t>Invincible Valves</t>
  </si>
  <si>
    <t>V158</t>
  </si>
  <si>
    <t>33 Shaft Rd, KNIGHTS, GermistonP</t>
  </si>
  <si>
    <t>Ncsales</t>
  </si>
  <si>
    <t>(0) 11 822 3666</t>
  </si>
  <si>
    <t>ncsales@invalve.co.za</t>
  </si>
  <si>
    <t>http://www.invalve.co.za/</t>
  </si>
  <si>
    <t>Bearings International</t>
  </si>
  <si>
    <t>V159</t>
  </si>
  <si>
    <t>Parkhaven Ext.5, Boksburg, 1459, South Africa</t>
  </si>
  <si>
    <t>Olifantsfontein1</t>
  </si>
  <si>
    <t>011 899-0000</t>
  </si>
  <si>
    <t>olifantsfontein1@bearings.co.za</t>
  </si>
  <si>
    <t>www.bearings.co.za</t>
  </si>
  <si>
    <t>Bearing &amp; Seals, Chains, Sprockets, Electric Motors, Drives, Belts, Pulleys. Gearbox, Couplings, Lubricants, nTools.</t>
  </si>
  <si>
    <t>Dycer Foundry &amp; Engineering</t>
  </si>
  <si>
    <t>V160</t>
  </si>
  <si>
    <t xml:space="preserve">318 Derdepoort Rd, Silvertondale Pretoria </t>
  </si>
  <si>
    <t>Foundrymanager</t>
  </si>
  <si>
    <t>012 803 9120</t>
  </si>
  <si>
    <t>foundrymanager@dycer.co.za</t>
  </si>
  <si>
    <t>https://dycer.co.za/</t>
  </si>
  <si>
    <t>Ferrous &amp; Non-Ferrous Foundry, CNC Machine Shop, Fabrication &amp; Component Assembly, Design &amp; Drafting</t>
  </si>
  <si>
    <t>DCM Group</t>
  </si>
  <si>
    <t>V161</t>
  </si>
  <si>
    <t>16 Skeen Boulevard, Bedfordview, JHB</t>
  </si>
  <si>
    <t>Jhb</t>
  </si>
  <si>
    <t>011 397 2222</t>
  </si>
  <si>
    <t xml:space="preserve">jhb@dcm.co.za   </t>
  </si>
  <si>
    <t>www.dcm.co.za</t>
  </si>
  <si>
    <t>HS SRL</t>
  </si>
  <si>
    <t>V162</t>
  </si>
  <si>
    <t>Via delle Industrie 13, 20844 SULBIATE (MB) ITALY</t>
  </si>
  <si>
    <t>C.Bonvini</t>
  </si>
  <si>
    <t>(+39) 039 622 730</t>
  </si>
  <si>
    <t>EUROS</t>
  </si>
  <si>
    <t>c.bonvini@h-s.it</t>
  </si>
  <si>
    <t>https://www.h-s.it/contatti/</t>
  </si>
  <si>
    <t>Hydraulic Power Units, Valve, Accumulator Banks, Cooling Units, Hydraulic Spare Parts, Skid Pumps</t>
  </si>
  <si>
    <t>Starco Spring and Wire Works (PTY) LTD</t>
  </si>
  <si>
    <t>V163</t>
  </si>
  <si>
    <t>103 Earp St, Ophirton, Johannesburg, 2091</t>
  </si>
  <si>
    <t>Beth</t>
  </si>
  <si>
    <t>(011)493-6558</t>
  </si>
  <si>
    <t>starco@mweb.co.za</t>
  </si>
  <si>
    <t>KSB Pumps &amp; Valve (PTY) LTD</t>
  </si>
  <si>
    <t>V164</t>
  </si>
  <si>
    <t>Cnr. North Reef Road &amp; Active Road, Active Park</t>
  </si>
  <si>
    <t>Mdluli, Innocentia</t>
  </si>
  <si>
    <t>+27-11-872-5932</t>
  </si>
  <si>
    <t>nnocentia.Mdluli@ksb.com</t>
  </si>
  <si>
    <t>Valves &amp; Pumps Supply</t>
  </si>
  <si>
    <t>Balance Technique</t>
  </si>
  <si>
    <t>V165</t>
  </si>
  <si>
    <t>2 Clarke North Street, Alrode Alberton</t>
  </si>
  <si>
    <t>Chantelle Nieuwenhuys</t>
  </si>
  <si>
    <t>011 864 1742</t>
  </si>
  <si>
    <t>accounts@tech-group.co.za</t>
  </si>
  <si>
    <t>www.techgroup.co.za</t>
  </si>
  <si>
    <t xml:space="preserve">Balancing </t>
  </si>
  <si>
    <t xml:space="preserve">Sano Trailers  </t>
  </si>
  <si>
    <t>V166</t>
  </si>
  <si>
    <t>229 Summit Rd, Bridle Park AH, Midrand</t>
  </si>
  <si>
    <t>010 221 1723</t>
  </si>
  <si>
    <t xml:space="preserve">info@sanotrailers.co.za </t>
  </si>
  <si>
    <t xml:space="preserve">sanotrailers.co.za </t>
  </si>
  <si>
    <t>Klinger Mzansi (PTY) Ltd</t>
  </si>
  <si>
    <t>V167</t>
  </si>
  <si>
    <t>247 Davidson Rd, Wadeville, Germiston</t>
  </si>
  <si>
    <t>011 842 8300</t>
  </si>
  <si>
    <t xml:space="preserve">Fluid Control, Gaskets, Fluid Sealing </t>
  </si>
  <si>
    <t>Absolute Containers</t>
  </si>
  <si>
    <t>V168</t>
  </si>
  <si>
    <t>18 Sesmylspruit Street, Sunderland Ridge</t>
  </si>
  <si>
    <t>+27 12940 0090</t>
  </si>
  <si>
    <t>amy@absolutecontainers.co.za</t>
  </si>
  <si>
    <t>Container &amp; Container Material Supply</t>
  </si>
  <si>
    <t>Titan Chrome CC</t>
  </si>
  <si>
    <t>V169</t>
  </si>
  <si>
    <t>Dunswart 1508, 11 Dagenham Rd, Ext 9 Benoni</t>
  </si>
  <si>
    <t>Warren</t>
  </si>
  <si>
    <t>082 783 9136</t>
  </si>
  <si>
    <t>chill@icon.co.za</t>
  </si>
  <si>
    <t>Chroming Shafts &amp; Cylinders</t>
  </si>
  <si>
    <t>World Power Products</t>
  </si>
  <si>
    <t>130 Side Road, West Turffontein, 2190, Johannesburg</t>
  </si>
  <si>
    <t>078 948 4351</t>
  </si>
  <si>
    <t>mwoest@wpp.co.za</t>
  </si>
  <si>
    <t>www.wpp.co.za</t>
  </si>
  <si>
    <t>Carbinet, Locks And Hinges</t>
  </si>
  <si>
    <t>Elsona Services cc</t>
  </si>
  <si>
    <t>V170</t>
  </si>
  <si>
    <t>410 All Black Road, Anderbolt</t>
  </si>
  <si>
    <t>Agatha Mahlangu</t>
  </si>
  <si>
    <t>+27871525895</t>
  </si>
  <si>
    <t>admin@bulkbag.co.za</t>
  </si>
  <si>
    <t>www.bulkbag.co.za</t>
  </si>
  <si>
    <t>Industrial Bulk Bags</t>
  </si>
  <si>
    <t>V171</t>
  </si>
  <si>
    <t>1 Trevallyn Park Cnr River Rd &amp; Hyskraan Cls</t>
  </si>
  <si>
    <t>Mark J. Cryer</t>
  </si>
  <si>
    <t xml:space="preserve">011 708 1954 </t>
  </si>
  <si>
    <t>mark@masterpneumatic.co.za</t>
  </si>
  <si>
    <t>PNEUMATIC Cylinder Repair</t>
  </si>
  <si>
    <t>MASTER PNEUMATIC</t>
  </si>
  <si>
    <t>Alfagomma South Africa Pty Ltd</t>
  </si>
  <si>
    <t>V172</t>
  </si>
  <si>
    <t>17 Quark Crescent Linbro Business Park</t>
  </si>
  <si>
    <t>Waylon Kok</t>
  </si>
  <si>
    <t xml:space="preserve">+27 (11) 2010900  </t>
  </si>
  <si>
    <t>Waylon.Kok@alfagomma.co.za</t>
  </si>
  <si>
    <t>www.alfagomma.com</t>
  </si>
  <si>
    <t>Albertina</t>
  </si>
  <si>
    <t>sales@klinger.co.za</t>
  </si>
  <si>
    <t xml:space="preserve">Hydraulic Hoses, Flexibles &amp; Fittings </t>
  </si>
  <si>
    <t>Blastrite (PTY) Ltd</t>
  </si>
  <si>
    <t>V173</t>
  </si>
  <si>
    <t>8 Johnson Street, Alrode Alberton</t>
  </si>
  <si>
    <t xml:space="preserve">Enrico Du Toit </t>
  </si>
  <si>
    <t>+27 11 842 7000</t>
  </si>
  <si>
    <t>enrico@blastrite.com</t>
  </si>
  <si>
    <t>www.blastrite.com</t>
  </si>
  <si>
    <t xml:space="preserve">Blasting Sand </t>
  </si>
  <si>
    <t>V174</t>
  </si>
  <si>
    <t>V175</t>
  </si>
  <si>
    <t>V176</t>
  </si>
  <si>
    <t>Eddie</t>
  </si>
  <si>
    <t>10 Berry Road, Roodekop, Germiston</t>
  </si>
  <si>
    <t xml:space="preserve">Nadia De Lange </t>
  </si>
  <si>
    <t>sales2@randsafety.co.za</t>
  </si>
  <si>
    <t>Ridge Surface Treatment</t>
  </si>
  <si>
    <t>45 Rudolph Street, Sunderland Ridge, Centurion, 0157</t>
  </si>
  <si>
    <t>Lawrence Nyapfupi</t>
  </si>
  <si>
    <t>Kensa Embroidery and Printing</t>
  </si>
  <si>
    <t>917 Morkels close, Midrand, Gauteng 1683</t>
  </si>
  <si>
    <t>Judy</t>
  </si>
  <si>
    <t>+27 84 473 0983</t>
  </si>
  <si>
    <t>Kensaembroidery@gmail.com</t>
  </si>
  <si>
    <t>PPE Embriodery, Printing</t>
  </si>
  <si>
    <t>First Cut (PTY) Ltd</t>
  </si>
  <si>
    <t>18 Adam Rd, Benrose, Germiston, 1400</t>
  </si>
  <si>
    <t>Vincent Moshole</t>
  </si>
  <si>
    <t>060 413 2431</t>
  </si>
  <si>
    <t>vincentm@firstcut.co.za</t>
  </si>
  <si>
    <t>Consumables</t>
  </si>
  <si>
    <t>Ekurhuleni Artisans and Skills Training College</t>
  </si>
  <si>
    <t>43b Maxwell Str, Kempton Park, 1619</t>
  </si>
  <si>
    <t>Valencia Mathebula</t>
  </si>
  <si>
    <t>011 394 1488</t>
  </si>
  <si>
    <t>valencia@eastc.co.za</t>
  </si>
  <si>
    <t>https://eastc.co.za/</t>
  </si>
  <si>
    <t>Training</t>
  </si>
  <si>
    <t>COD</t>
  </si>
  <si>
    <t>SDC Consult</t>
  </si>
  <si>
    <t>V177</t>
  </si>
  <si>
    <t>24 Achter Rd, Paulshof, Sandton, 2191</t>
  </si>
  <si>
    <t>Elmarie Hooman</t>
  </si>
  <si>
    <t>010 900 0471</t>
  </si>
  <si>
    <t>elmarie@sdcconsult.co.za</t>
  </si>
  <si>
    <t>Legal compliance and specialized training</t>
  </si>
  <si>
    <t xml:space="preserve">LionScope Multidisciplinary </t>
  </si>
  <si>
    <t>V178</t>
  </si>
  <si>
    <t>5 Sapphire St, Superbia Polokwane</t>
  </si>
  <si>
    <t>015 880 0264</t>
  </si>
  <si>
    <t>contact@lionscope.co.za</t>
  </si>
  <si>
    <t>https://lionscope.co.za/contact.html</t>
  </si>
  <si>
    <t>Training, Construction,Signage, Safety etc</t>
  </si>
  <si>
    <t>Fuchs Lubricants</t>
  </si>
  <si>
    <t>V179</t>
  </si>
  <si>
    <t>6 Isando Road, Isando, Gauteng 1600</t>
  </si>
  <si>
    <t>Cevin Craddock</t>
  </si>
  <si>
    <t>011 565 9600</t>
  </si>
  <si>
    <t>cevin.craddock@fuchs.com</t>
  </si>
  <si>
    <t>https://www.fuchs.com/za/en/</t>
  </si>
  <si>
    <t>Lubricants Supply</t>
  </si>
  <si>
    <t>Nicro Industrial</t>
  </si>
  <si>
    <t>V180</t>
  </si>
  <si>
    <t>1330 Staal Road Stormill Extension 2 Roodepoort</t>
  </si>
  <si>
    <t>Alfred Wauts</t>
  </si>
  <si>
    <t>011 474 2580</t>
  </si>
  <si>
    <t>alfred@nicroind.co.za</t>
  </si>
  <si>
    <t>Natal Stainless Steel</t>
  </si>
  <si>
    <t>V181</t>
  </si>
  <si>
    <t>Johannesburg, 163 Galjoen Road, Wadeville</t>
  </si>
  <si>
    <t>Nqobile Jele</t>
  </si>
  <si>
    <t>(011)  824 0401</t>
  </si>
  <si>
    <t>nqobile@nssteel.co.za</t>
  </si>
  <si>
    <t>www.natalstainlesssteel.co.za</t>
  </si>
  <si>
    <t>Stainless Steel Round Bar, Plates, Elbows</t>
  </si>
  <si>
    <t>M-0000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</si>
</sst>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[$-409]d\-mmm\-yy;@"/>
    <numFmt numFmtId="165" formatCode="[$-1C09]dd\ mmmm\ yyyy;@"/>
    <numFmt numFmtId="166" formatCode="[$-14009]dd\ mmmm\ yyyy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77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4" xfId="0" applyBorder="1"/>
    <xf numFmtId="0" fontId="0" fillId="0" borderId="12" xfId="0" applyBorder="1" applyAlignment="1">
      <alignment vertical="top"/>
    </xf>
    <xf numFmtId="0" fontId="0" fillId="0" borderId="0" xfId="0" applyAlignment="1">
      <alignment vertical="top"/>
    </xf>
    <xf numFmtId="0" fontId="5" fillId="0" borderId="10" xfId="0" applyFont="1" applyBorder="1"/>
    <xf numFmtId="164" fontId="3" fillId="0" borderId="10" xfId="0" applyNumberFormat="1" applyFont="1" applyBorder="1"/>
    <xf numFmtId="164" fontId="3" fillId="0" borderId="11" xfId="0" applyNumberFormat="1" applyFont="1" applyBorder="1"/>
    <xf numFmtId="0" fontId="2" fillId="0" borderId="12" xfId="0" applyFont="1" applyBorder="1" applyAlignment="1">
      <alignment vertical="top"/>
    </xf>
    <xf numFmtId="0" fontId="5" fillId="0" borderId="1" xfId="0" applyFont="1" applyBorder="1"/>
    <xf numFmtId="0" fontId="5" fillId="0" borderId="2" xfId="0" applyFont="1" applyBorder="1"/>
    <xf numFmtId="164" fontId="3" fillId="0" borderId="2" xfId="0" applyNumberFormat="1" applyFont="1" applyBorder="1"/>
    <xf numFmtId="164" fontId="3" fillId="0" borderId="20" xfId="0" applyNumberFormat="1" applyFont="1" applyBorder="1"/>
    <xf numFmtId="0" fontId="5" fillId="0" borderId="17" xfId="0" applyFont="1" applyBorder="1"/>
    <xf numFmtId="0" fontId="0" fillId="0" borderId="10" xfId="0" applyBorder="1" applyProtection="1">
      <protection locked="0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0" borderId="0" xfId="0" applyFont="1" applyAlignment="1">
      <alignment horizontal="right"/>
    </xf>
    <xf numFmtId="49" fontId="4" fillId="0" borderId="0" xfId="0" applyNumberFormat="1" applyFont="1"/>
    <xf numFmtId="0" fontId="2" fillId="0" borderId="0" xfId="0" applyFont="1" applyAlignment="1">
      <alignment horizontal="center" vertical="center"/>
    </xf>
    <xf numFmtId="0" fontId="2" fillId="0" borderId="31" xfId="0" applyFont="1" applyBorder="1" applyAlignment="1">
      <alignment horizontal="center"/>
    </xf>
    <xf numFmtId="0" fontId="3" fillId="0" borderId="13" xfId="0" applyFont="1" applyBorder="1" applyAlignment="1">
      <alignment horizontal="left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10" xfId="0" applyBorder="1" applyAlignment="1">
      <alignment vertical="top"/>
    </xf>
    <xf numFmtId="0" fontId="0" fillId="0" borderId="10" xfId="0" applyBorder="1" applyAlignment="1">
      <alignment vertical="top" wrapText="1"/>
    </xf>
    <xf numFmtId="2" fontId="0" fillId="0" borderId="10" xfId="0" applyNumberFormat="1" applyBorder="1" applyAlignment="1">
      <alignment vertical="top"/>
    </xf>
    <xf numFmtId="1" fontId="2" fillId="0" borderId="10" xfId="0" applyNumberFormat="1" applyFont="1" applyBorder="1" applyAlignment="1">
      <alignment horizontal="right" vertical="top"/>
    </xf>
    <xf numFmtId="4" fontId="2" fillId="0" borderId="18" xfId="0" applyNumberFormat="1" applyFont="1" applyBorder="1" applyAlignment="1">
      <alignment vertical="center"/>
    </xf>
    <xf numFmtId="0" fontId="4" fillId="0" borderId="0" xfId="0" applyFont="1" applyAlignment="1">
      <alignment horizontal="center" vertical="center" textRotation="90"/>
    </xf>
    <xf numFmtId="0" fontId="2" fillId="0" borderId="0" xfId="0" applyFont="1"/>
    <xf numFmtId="0" fontId="0" fillId="0" borderId="0" xfId="0" applyAlignment="1">
      <alignment horizontal="center" vertical="center"/>
    </xf>
    <xf numFmtId="49" fontId="4" fillId="0" borderId="0" xfId="0" applyNumberFormat="1" applyFont="1" applyAlignment="1">
      <alignment vertical="center"/>
    </xf>
    <xf numFmtId="0" fontId="2" fillId="0" borderId="9" xfId="0" applyFont="1" applyBorder="1" applyAlignment="1">
      <alignment vertical="top"/>
    </xf>
    <xf numFmtId="164" fontId="0" fillId="0" borderId="0" xfId="1" applyNumberFormat="1" applyFont="1" applyBorder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 wrapText="1"/>
    </xf>
    <xf numFmtId="0" fontId="0" fillId="0" borderId="32" xfId="0" applyBorder="1" applyAlignment="1">
      <alignment vertical="center"/>
    </xf>
    <xf numFmtId="0" fontId="0" fillId="0" borderId="31" xfId="0" applyBorder="1" applyAlignment="1">
      <alignment vertical="center"/>
    </xf>
    <xf numFmtId="0" fontId="0" fillId="0" borderId="31" xfId="0" applyBorder="1" applyAlignment="1">
      <alignment vertical="top" wrapText="1"/>
    </xf>
    <xf numFmtId="2" fontId="0" fillId="0" borderId="31" xfId="0" applyNumberFormat="1" applyBorder="1" applyAlignment="1">
      <alignment vertical="center"/>
    </xf>
    <xf numFmtId="1" fontId="0" fillId="0" borderId="31" xfId="0" applyNumberFormat="1" applyBorder="1" applyAlignment="1">
      <alignment vertical="center"/>
    </xf>
    <xf numFmtId="164" fontId="0" fillId="0" borderId="31" xfId="1" applyNumberFormat="1" applyFont="1" applyBorder="1" applyAlignment="1">
      <alignment vertical="center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vertical="top"/>
    </xf>
    <xf numFmtId="0" fontId="2" fillId="0" borderId="10" xfId="0" applyFont="1" applyBorder="1" applyAlignment="1">
      <alignment vertical="top"/>
    </xf>
    <xf numFmtId="0" fontId="0" fillId="0" borderId="33" xfId="0" applyBorder="1" applyAlignment="1">
      <alignment vertical="top" wrapText="1"/>
    </xf>
    <xf numFmtId="0" fontId="0" fillId="0" borderId="0" xfId="0" applyAlignment="1">
      <alignment horizontal="right" vertical="center" wrapText="1"/>
    </xf>
    <xf numFmtId="0" fontId="0" fillId="0" borderId="13" xfId="0" applyBorder="1" applyAlignment="1">
      <alignment horizontal="right" vertical="center" wrapText="1"/>
    </xf>
    <xf numFmtId="0" fontId="5" fillId="0" borderId="12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0" fillId="0" borderId="12" xfId="0" applyBorder="1"/>
    <xf numFmtId="0" fontId="0" fillId="0" borderId="34" xfId="0" applyBorder="1"/>
    <xf numFmtId="0" fontId="0" fillId="0" borderId="35" xfId="0" applyBorder="1"/>
    <xf numFmtId="0" fontId="0" fillId="0" borderId="0" xfId="0" quotePrefix="1"/>
    <xf numFmtId="0" fontId="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4" fillId="0" borderId="4" xfId="0" applyFont="1" applyBorder="1" applyAlignment="1">
      <alignment horizontal="right"/>
    </xf>
    <xf numFmtId="0" fontId="0" fillId="0" borderId="0" xfId="0" applyAlignment="1" applyProtection="1">
      <alignment horizontal="center" wrapText="1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0" xfId="0" applyAlignment="1">
      <alignment horizontal="center" wrapText="1"/>
    </xf>
    <xf numFmtId="0" fontId="0" fillId="3" borderId="0" xfId="0" quotePrefix="1" applyFill="1" applyAlignment="1">
      <alignment horizontal="center" wrapText="1"/>
    </xf>
    <xf numFmtId="0" fontId="0" fillId="3" borderId="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9" xfId="0" applyBorder="1" applyAlignment="1">
      <alignment horizontal="center" wrapText="1"/>
    </xf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6" xfId="0" applyBorder="1" applyAlignment="1">
      <alignment horizontal="center"/>
    </xf>
    <xf numFmtId="164" fontId="3" fillId="3" borderId="14" xfId="0" applyNumberFormat="1" applyFont="1" applyFill="1" applyBorder="1" applyAlignment="1">
      <alignment horizontal="center"/>
    </xf>
    <xf numFmtId="164" fontId="3" fillId="3" borderId="15" xfId="0" applyNumberFormat="1" applyFont="1" applyFill="1" applyBorder="1" applyAlignment="1">
      <alignment horizontal="center"/>
    </xf>
    <xf numFmtId="164" fontId="3" fillId="3" borderId="23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166" fontId="3" fillId="3" borderId="2" xfId="0" applyNumberFormat="1" applyFont="1" applyFill="1" applyBorder="1" applyAlignment="1" applyProtection="1">
      <alignment horizontal="center"/>
      <protection locked="0"/>
    </xf>
    <xf numFmtId="166" fontId="3" fillId="3" borderId="3" xfId="0" applyNumberFormat="1" applyFont="1" applyFill="1" applyBorder="1" applyAlignment="1" applyProtection="1">
      <alignment horizontal="center"/>
      <protection locked="0"/>
    </xf>
    <xf numFmtId="164" fontId="3" fillId="0" borderId="12" xfId="0" applyNumberFormat="1" applyFont="1" applyBorder="1" applyAlignment="1">
      <alignment horizontal="center"/>
    </xf>
    <xf numFmtId="164" fontId="3" fillId="0" borderId="0" xfId="0" applyNumberFormat="1" applyFont="1" applyAlignment="1">
      <alignment horizontal="center"/>
    </xf>
    <xf numFmtId="164" fontId="3" fillId="0" borderId="5" xfId="0" applyNumberFormat="1" applyFont="1" applyBorder="1" applyAlignment="1">
      <alignment horizontal="center"/>
    </xf>
    <xf numFmtId="164" fontId="3" fillId="3" borderId="12" xfId="0" applyNumberFormat="1" applyFont="1" applyFill="1" applyBorder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4" fontId="3" fillId="3" borderId="5" xfId="0" applyNumberFormat="1" applyFont="1" applyFill="1" applyBorder="1" applyAlignment="1">
      <alignment horizontal="center"/>
    </xf>
    <xf numFmtId="10" fontId="3" fillId="3" borderId="12" xfId="1" quotePrefix="1" applyNumberFormat="1" applyFont="1" applyFill="1" applyBorder="1" applyAlignment="1">
      <alignment horizontal="center"/>
    </xf>
    <xf numFmtId="10" fontId="3" fillId="3" borderId="0" xfId="1" applyNumberFormat="1" applyFont="1" applyFill="1" applyBorder="1" applyAlignment="1">
      <alignment horizontal="center"/>
    </xf>
    <xf numFmtId="10" fontId="3" fillId="3" borderId="5" xfId="1" applyNumberFormat="1" applyFont="1" applyFill="1" applyBorder="1" applyAlignment="1">
      <alignment horizontal="center"/>
    </xf>
    <xf numFmtId="0" fontId="5" fillId="0" borderId="22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5" fillId="0" borderId="19" xfId="0" applyFont="1" applyBorder="1" applyAlignment="1">
      <alignment horizontal="left"/>
    </xf>
    <xf numFmtId="1" fontId="3" fillId="3" borderId="12" xfId="1" applyNumberFormat="1" applyFont="1" applyFill="1" applyBorder="1" applyAlignment="1">
      <alignment horizontal="center"/>
    </xf>
    <xf numFmtId="1" fontId="3" fillId="3" borderId="0" xfId="1" applyNumberFormat="1" applyFont="1" applyFill="1" applyBorder="1" applyAlignment="1">
      <alignment horizontal="center"/>
    </xf>
    <xf numFmtId="1" fontId="3" fillId="3" borderId="5" xfId="1" applyNumberFormat="1" applyFont="1" applyFill="1" applyBorder="1" applyAlignment="1">
      <alignment horizontal="center"/>
    </xf>
    <xf numFmtId="3" fontId="0" fillId="0" borderId="9" xfId="0" quotePrefix="1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27" xfId="0" applyFont="1" applyBorder="1" applyAlignment="1">
      <alignment horizontal="center" vertical="center" textRotation="90"/>
    </xf>
    <xf numFmtId="0" fontId="4" fillId="0" borderId="28" xfId="0" applyFont="1" applyBorder="1" applyAlignment="1">
      <alignment horizontal="center" vertical="center" textRotation="90"/>
    </xf>
    <xf numFmtId="0" fontId="4" fillId="0" borderId="29" xfId="0" applyFont="1" applyBorder="1" applyAlignment="1">
      <alignment horizontal="center" vertical="center" textRotation="90"/>
    </xf>
    <xf numFmtId="0" fontId="2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7" fillId="0" borderId="27" xfId="0" applyFont="1" applyBorder="1" applyAlignment="1">
      <alignment horizontal="center" vertical="center" textRotation="90"/>
    </xf>
    <xf numFmtId="0" fontId="7" fillId="0" borderId="28" xfId="0" applyFont="1" applyBorder="1" applyAlignment="1">
      <alignment horizontal="center" vertical="center" textRotation="90"/>
    </xf>
    <xf numFmtId="0" fontId="7" fillId="0" borderId="29" xfId="0" applyFont="1" applyBorder="1" applyAlignment="1">
      <alignment horizontal="center" vertical="center" textRotation="90"/>
    </xf>
    <xf numFmtId="0" fontId="2" fillId="0" borderId="25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6" fillId="0" borderId="9" xfId="2" quotePrefix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3" fontId="0" fillId="0" borderId="9" xfId="0" quotePrefix="1" applyNumberFormat="1" applyBorder="1" applyAlignment="1">
      <alignment horizontal="center" wrapText="1"/>
    </xf>
    <xf numFmtId="0" fontId="0" fillId="0" borderId="9" xfId="0" quotePrefix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0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/>
    </xf>
    <xf numFmtId="0" fontId="3" fillId="0" borderId="13" xfId="0" applyFont="1" applyBorder="1" applyAlignment="1">
      <alignment horizontal="left"/>
    </xf>
    <xf numFmtId="0" fontId="2" fillId="0" borderId="0" xfId="0" applyFont="1" applyAlignment="1">
      <alignment horizontal="left"/>
    </xf>
    <xf numFmtId="0" fontId="0" fillId="0" borderId="15" xfId="0" applyBorder="1" applyAlignment="1">
      <alignment horizontal="right" vertical="center"/>
    </xf>
    <xf numFmtId="0" fontId="0" fillId="0" borderId="16" xfId="0" applyBorder="1" applyAlignment="1">
      <alignment horizontal="right" vertical="center"/>
    </xf>
    <xf numFmtId="164" fontId="3" fillId="0" borderId="15" xfId="0" applyNumberFormat="1" applyFont="1" applyBorder="1" applyAlignment="1">
      <alignment horizontal="left"/>
    </xf>
    <xf numFmtId="0" fontId="3" fillId="0" borderId="16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0" borderId="14" xfId="0" applyFont="1" applyBorder="1" applyAlignment="1">
      <alignment horizontal="left"/>
    </xf>
    <xf numFmtId="0" fontId="5" fillId="0" borderId="15" xfId="0" applyFont="1" applyBorder="1" applyAlignment="1">
      <alignment horizontal="left"/>
    </xf>
    <xf numFmtId="0" fontId="0" fillId="0" borderId="15" xfId="0" applyBorder="1" applyAlignment="1">
      <alignment horizontal="center" vertical="top" wrapText="1"/>
    </xf>
    <xf numFmtId="9" fontId="8" fillId="0" borderId="31" xfId="0" applyNumberFormat="1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0" borderId="31" xfId="0" applyBorder="1" applyAlignment="1">
      <alignment horizontal="center"/>
    </xf>
    <xf numFmtId="9" fontId="0" fillId="0" borderId="10" xfId="1" applyFont="1" applyBorder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top" wrapText="1"/>
    </xf>
    <xf numFmtId="0" fontId="2" fillId="0" borderId="0" xfId="0" applyFont="1" applyAlignment="1">
      <alignment horizontal="right" vertical="center"/>
    </xf>
    <xf numFmtId="165" fontId="3" fillId="0" borderId="10" xfId="0" applyNumberFormat="1" applyFont="1" applyBorder="1" applyAlignment="1">
      <alignment horizontal="left"/>
    </xf>
    <xf numFmtId="165" fontId="3" fillId="0" borderId="11" xfId="0" applyNumberFormat="1" applyFont="1" applyBorder="1" applyAlignment="1">
      <alignment horizontal="left"/>
    </xf>
    <xf numFmtId="10" fontId="3" fillId="0" borderId="0" xfId="1" applyNumberFormat="1" applyFont="1" applyBorder="1" applyAlignment="1">
      <alignment horizontal="left"/>
    </xf>
    <xf numFmtId="10" fontId="3" fillId="0" borderId="13" xfId="1" applyNumberFormat="1" applyFont="1" applyBorder="1" applyAlignment="1">
      <alignment horizontal="left"/>
    </xf>
    <xf numFmtId="1" fontId="3" fillId="0" borderId="0" xfId="1" applyNumberFormat="1" applyFont="1" applyBorder="1" applyAlignment="1">
      <alignment horizontal="left"/>
    </xf>
    <xf numFmtId="0" fontId="3" fillId="0" borderId="13" xfId="1" applyNumberFormat="1" applyFont="1" applyBorder="1" applyAlignment="1">
      <alignment horizontal="left"/>
    </xf>
    <xf numFmtId="0" fontId="0" fillId="0" borderId="13" xfId="0" applyBorder="1" applyAlignment="1">
      <alignment horizontal="left" vertical="top" wrapText="1"/>
    </xf>
    <xf numFmtId="0" fontId="2" fillId="0" borderId="12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0" fillId="2" borderId="36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0" xfId="0" applyAlignment="1">
      <alignment horizontal="right" vertical="center" wrapText="1"/>
    </xf>
    <xf numFmtId="0" fontId="0" fillId="0" borderId="13" xfId="0" applyBorder="1" applyAlignment="1">
      <alignment horizontal="right" vertical="center" wrapText="1"/>
    </xf>
    <xf numFmtId="0" fontId="0" fillId="0" borderId="0" xfId="0" applyAlignment="1">
      <alignment horizontal="right" vertical="center"/>
    </xf>
    <xf numFmtId="0" fontId="0" fillId="0" borderId="13" xfId="0" applyBorder="1" applyAlignment="1">
      <alignment horizontal="right" vertical="center"/>
    </xf>
    <xf numFmtId="0" fontId="2" fillId="0" borderId="37" xfId="0" applyFont="1" applyBorder="1" applyAlignment="1">
      <alignment horizontal="left" vertical="top"/>
    </xf>
    <xf numFmtId="0" fontId="4" fillId="0" borderId="0" xfId="0" applyFont="1" applyAlignment="1">
      <alignment horizontal="left"/>
    </xf>
    <xf numFmtId="0" fontId="5" fillId="0" borderId="9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2" fillId="0" borderId="14" xfId="0" applyFont="1" applyBorder="1" applyAlignment="1">
      <alignment horizontal="center" vertical="top"/>
    </xf>
    <xf numFmtId="0" fontId="2" fillId="0" borderId="15" xfId="0" applyFont="1" applyBorder="1" applyAlignment="1">
      <alignment horizontal="center" vertical="top"/>
    </xf>
    <xf numFmtId="164" fontId="0" fillId="0" borderId="0" xfId="0" applyNumberFormat="1" applyAlignment="1">
      <alignment horizontal="left" vertical="top" wrapText="1"/>
    </xf>
  </cellXfs>
  <cellStyles count="3">
    <cellStyle name="Hyperlink" xfId="2" builtinId="8"/>
    <cellStyle name="Normal" xfId="0" builtinId="0"/>
    <cellStyle name="Percent" xfId="1" builtinId="5"/>
  </cellStyles>
  <dxfs count="33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fgColor theme="0"/>
        </patternFill>
      </fill>
    </dxf>
  </dxfs>
  <tableStyles count="1" defaultTableStyle="TableStyleMedium2" defaultPivotStyle="PivotStyleLight16">
    <tableStyle name="Table Style 1" pivot="0" count="1" xr9:uid="{00000000-0011-0000-FFFF-FFFF00000000}">
      <tableStyleElement type="wholeTable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620353</xdr:colOff>
      <xdr:row>2</xdr:row>
      <xdr:rowOff>5443</xdr:rowOff>
    </xdr:from>
    <xdr:to>
      <xdr:col>5</xdr:col>
      <xdr:colOff>699</xdr:colOff>
      <xdr:row>4</xdr:row>
      <xdr:rowOff>1114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182953" y="4110718"/>
          <a:ext cx="85196" cy="186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4</xdr:col>
      <xdr:colOff>625000</xdr:colOff>
      <xdr:row>4</xdr:row>
      <xdr:rowOff>796</xdr:rowOff>
    </xdr:from>
    <xdr:to>
      <xdr:col>5</xdr:col>
      <xdr:colOff>5346</xdr:colOff>
      <xdr:row>4</xdr:row>
      <xdr:rowOff>186967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187600" y="4296571"/>
          <a:ext cx="85196" cy="186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503831</xdr:colOff>
      <xdr:row>0</xdr:row>
      <xdr:rowOff>41462</xdr:rowOff>
    </xdr:from>
    <xdr:to>
      <xdr:col>10</xdr:col>
      <xdr:colOff>735106</xdr:colOff>
      <xdr:row>7</xdr:row>
      <xdr:rowOff>17046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8863" r="19739" b="22015"/>
        <a:stretch/>
      </xdr:blipFill>
      <xdr:spPr>
        <a:xfrm>
          <a:off x="6061949" y="41462"/>
          <a:ext cx="1804580" cy="1312259"/>
        </a:xfrm>
        <a:prstGeom prst="rect">
          <a:avLst/>
        </a:prstGeom>
      </xdr:spPr>
    </xdr:pic>
    <xdr:clientData/>
  </xdr:twoCellAnchor>
  <xdr:twoCellAnchor>
    <xdr:from>
      <xdr:col>3</xdr:col>
      <xdr:colOff>646340</xdr:colOff>
      <xdr:row>15</xdr:row>
      <xdr:rowOff>4083</xdr:rowOff>
    </xdr:from>
    <xdr:to>
      <xdr:col>4</xdr:col>
      <xdr:colOff>484414</xdr:colOff>
      <xdr:row>16</xdr:row>
      <xdr:rowOff>74707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2767987" y="2237789"/>
          <a:ext cx="570192" cy="279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1"/>
            <a:t>TEL:</a:t>
          </a:r>
        </a:p>
      </xdr:txBody>
    </xdr:sp>
    <xdr:clientData/>
  </xdr:twoCellAnchor>
  <xdr:twoCellAnchor>
    <xdr:from>
      <xdr:col>3</xdr:col>
      <xdr:colOff>621166</xdr:colOff>
      <xdr:row>18</xdr:row>
      <xdr:rowOff>8843</xdr:rowOff>
    </xdr:from>
    <xdr:to>
      <xdr:col>4</xdr:col>
      <xdr:colOff>476250</xdr:colOff>
      <xdr:row>20</xdr:row>
      <xdr:rowOff>680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2667680" y="3007857"/>
          <a:ext cx="562656" cy="2585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1"/>
            <a:t> FAX:</a:t>
          </a:r>
        </a:p>
      </xdr:txBody>
    </xdr:sp>
    <xdr:clientData/>
  </xdr:twoCellAnchor>
  <xdr:twoCellAnchor>
    <xdr:from>
      <xdr:col>3</xdr:col>
      <xdr:colOff>638856</xdr:colOff>
      <xdr:row>25</xdr:row>
      <xdr:rowOff>7755</xdr:rowOff>
    </xdr:from>
    <xdr:to>
      <xdr:col>4</xdr:col>
      <xdr:colOff>465364</xdr:colOff>
      <xdr:row>26</xdr:row>
      <xdr:rowOff>7755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677206" y="4114935"/>
          <a:ext cx="53135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100" b="1"/>
            <a:t>TEL:</a:t>
          </a:r>
        </a:p>
      </xdr:txBody>
    </xdr:sp>
    <xdr:clientData/>
  </xdr:twoCellAnchor>
  <xdr:twoCellAnchor>
    <xdr:from>
      <xdr:col>3</xdr:col>
      <xdr:colOff>619124</xdr:colOff>
      <xdr:row>26</xdr:row>
      <xdr:rowOff>12246</xdr:rowOff>
    </xdr:from>
    <xdr:to>
      <xdr:col>4</xdr:col>
      <xdr:colOff>481011</xdr:colOff>
      <xdr:row>27</xdr:row>
      <xdr:rowOff>2042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665638" y="4306660"/>
          <a:ext cx="569459" cy="1802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 b="1"/>
            <a:t>FAX:</a:t>
          </a:r>
        </a:p>
      </xdr:txBody>
    </xdr:sp>
    <xdr:clientData/>
  </xdr:twoCellAnchor>
  <xdr:twoCellAnchor>
    <xdr:from>
      <xdr:col>1</xdr:col>
      <xdr:colOff>548677</xdr:colOff>
      <xdr:row>9</xdr:row>
      <xdr:rowOff>75900</xdr:rowOff>
    </xdr:from>
    <xdr:to>
      <xdr:col>1</xdr:col>
      <xdr:colOff>635552</xdr:colOff>
      <xdr:row>12</xdr:row>
      <xdr:rowOff>15834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1277059" y="1723165"/>
          <a:ext cx="86875" cy="242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1</xdr:col>
      <xdr:colOff>558477</xdr:colOff>
      <xdr:row>12</xdr:row>
      <xdr:rowOff>86541</xdr:rowOff>
    </xdr:from>
    <xdr:to>
      <xdr:col>1</xdr:col>
      <xdr:colOff>649917</xdr:colOff>
      <xdr:row>16</xdr:row>
      <xdr:rowOff>125013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1286859" y="2036365"/>
          <a:ext cx="91440" cy="430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1</xdr:col>
      <xdr:colOff>534731</xdr:colOff>
      <xdr:row>20</xdr:row>
      <xdr:rowOff>4793</xdr:rowOff>
    </xdr:from>
    <xdr:to>
      <xdr:col>1</xdr:col>
      <xdr:colOff>624777</xdr:colOff>
      <xdr:row>20</xdr:row>
      <xdr:rowOff>187673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1240975" y="3275817"/>
          <a:ext cx="90046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1</xdr:col>
      <xdr:colOff>533483</xdr:colOff>
      <xdr:row>22</xdr:row>
      <xdr:rowOff>8660</xdr:rowOff>
    </xdr:from>
    <xdr:to>
      <xdr:col>1</xdr:col>
      <xdr:colOff>624923</xdr:colOff>
      <xdr:row>23</xdr:row>
      <xdr:rowOff>1040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239727" y="3544526"/>
          <a:ext cx="91440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1</xdr:col>
      <xdr:colOff>547424</xdr:colOff>
      <xdr:row>25</xdr:row>
      <xdr:rowOff>4329</xdr:rowOff>
    </xdr:from>
    <xdr:to>
      <xdr:col>2</xdr:col>
      <xdr:colOff>6758</xdr:colOff>
      <xdr:row>26</xdr:row>
      <xdr:rowOff>0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1253668" y="4120988"/>
          <a:ext cx="86590" cy="186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672029</xdr:colOff>
      <xdr:row>21</xdr:row>
      <xdr:rowOff>77192</xdr:rowOff>
    </xdr:from>
    <xdr:to>
      <xdr:col>9</xdr:col>
      <xdr:colOff>1469</xdr:colOff>
      <xdr:row>22</xdr:row>
      <xdr:rowOff>181841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6231165" y="3540828"/>
          <a:ext cx="91440" cy="1825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671080</xdr:colOff>
      <xdr:row>19</xdr:row>
      <xdr:rowOff>77930</xdr:rowOff>
    </xdr:from>
    <xdr:to>
      <xdr:col>9</xdr:col>
      <xdr:colOff>520</xdr:colOff>
      <xdr:row>20</xdr:row>
      <xdr:rowOff>186170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6230216" y="3273135"/>
          <a:ext cx="91440" cy="186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668016</xdr:colOff>
      <xdr:row>18</xdr:row>
      <xdr:rowOff>0</xdr:rowOff>
    </xdr:from>
    <xdr:to>
      <xdr:col>9</xdr:col>
      <xdr:colOff>4330</xdr:colOff>
      <xdr:row>19</xdr:row>
      <xdr:rowOff>5792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6227152" y="3004705"/>
          <a:ext cx="98314" cy="19629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668927</xdr:colOff>
      <xdr:row>15</xdr:row>
      <xdr:rowOff>8390</xdr:rowOff>
    </xdr:from>
    <xdr:to>
      <xdr:col>8</xdr:col>
      <xdr:colOff>827603</xdr:colOff>
      <xdr:row>15</xdr:row>
      <xdr:rowOff>191270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6451162" y="2242096"/>
          <a:ext cx="158676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674209</xdr:colOff>
      <xdr:row>14</xdr:row>
      <xdr:rowOff>0</xdr:rowOff>
    </xdr:from>
    <xdr:to>
      <xdr:col>9</xdr:col>
      <xdr:colOff>3649</xdr:colOff>
      <xdr:row>14</xdr:row>
      <xdr:rowOff>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6233345" y="2470117"/>
          <a:ext cx="91440" cy="1828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710332</xdr:colOff>
      <xdr:row>10</xdr:row>
      <xdr:rowOff>180800</xdr:rowOff>
    </xdr:from>
    <xdr:to>
      <xdr:col>8</xdr:col>
      <xdr:colOff>796922</xdr:colOff>
      <xdr:row>12</xdr:row>
      <xdr:rowOff>169001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6492567" y="2003624"/>
          <a:ext cx="86590" cy="1824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672223</xdr:colOff>
      <xdr:row>10</xdr:row>
      <xdr:rowOff>5444</xdr:rowOff>
    </xdr:from>
    <xdr:to>
      <xdr:col>9</xdr:col>
      <xdr:colOff>1663</xdr:colOff>
      <xdr:row>11</xdr:row>
      <xdr:rowOff>1115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6245709" y="1937658"/>
          <a:ext cx="91440" cy="186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676637</xdr:colOff>
      <xdr:row>25</xdr:row>
      <xdr:rowOff>5443</xdr:rowOff>
    </xdr:from>
    <xdr:to>
      <xdr:col>9</xdr:col>
      <xdr:colOff>6077</xdr:colOff>
      <xdr:row>26</xdr:row>
      <xdr:rowOff>1114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6235773" y="4118511"/>
          <a:ext cx="91440" cy="186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672626</xdr:colOff>
      <xdr:row>26</xdr:row>
      <xdr:rowOff>9455</xdr:rowOff>
    </xdr:from>
    <xdr:to>
      <xdr:col>9</xdr:col>
      <xdr:colOff>2066</xdr:colOff>
      <xdr:row>27</xdr:row>
      <xdr:rowOff>5126</xdr:rowOff>
    </xdr:to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231762" y="4313023"/>
          <a:ext cx="91440" cy="186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1</xdr:col>
      <xdr:colOff>523874</xdr:colOff>
      <xdr:row>11</xdr:row>
      <xdr:rowOff>4618</xdr:rowOff>
    </xdr:from>
    <xdr:to>
      <xdr:col>2</xdr:col>
      <xdr:colOff>4848</xdr:colOff>
      <xdr:row>14</xdr:row>
      <xdr:rowOff>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1255992" y="2014206"/>
          <a:ext cx="138385" cy="38385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668016</xdr:colOff>
      <xdr:row>18</xdr:row>
      <xdr:rowOff>0</xdr:rowOff>
    </xdr:from>
    <xdr:to>
      <xdr:col>9</xdr:col>
      <xdr:colOff>4330</xdr:colOff>
      <xdr:row>19</xdr:row>
      <xdr:rowOff>5792</xdr:rowOff>
    </xdr:to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6337296" y="2827020"/>
          <a:ext cx="151654" cy="18867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8</xdr:col>
      <xdr:colOff>676398</xdr:colOff>
      <xdr:row>18</xdr:row>
      <xdr:rowOff>920</xdr:rowOff>
    </xdr:from>
    <xdr:to>
      <xdr:col>9</xdr:col>
      <xdr:colOff>5838</xdr:colOff>
      <xdr:row>19</xdr:row>
      <xdr:rowOff>4505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6345678" y="2827940"/>
          <a:ext cx="144780" cy="186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7</xdr:col>
      <xdr:colOff>552824</xdr:colOff>
      <xdr:row>12</xdr:row>
      <xdr:rowOff>126999</xdr:rowOff>
    </xdr:from>
    <xdr:to>
      <xdr:col>7</xdr:col>
      <xdr:colOff>711500</xdr:colOff>
      <xdr:row>12</xdr:row>
      <xdr:rowOff>126999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BD3E4F4-B25D-45BA-9B89-057309130AD1}"/>
            </a:ext>
          </a:extLst>
        </xdr:cNvPr>
        <xdr:cNvSpPr txBox="1"/>
      </xdr:nvSpPr>
      <xdr:spPr>
        <a:xfrm>
          <a:off x="5356412" y="2144058"/>
          <a:ext cx="158676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7</xdr:col>
      <xdr:colOff>158676</xdr:colOff>
      <xdr:row>16</xdr:row>
      <xdr:rowOff>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CAC7F12-0FE9-4F87-A0D2-7E5867ACF8B5}"/>
            </a:ext>
          </a:extLst>
        </xdr:cNvPr>
        <xdr:cNvSpPr txBox="1"/>
      </xdr:nvSpPr>
      <xdr:spPr>
        <a:xfrm>
          <a:off x="4803588" y="2442882"/>
          <a:ext cx="158676" cy="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:</a:t>
          </a:r>
        </a:p>
      </xdr:txBody>
    </xdr:sp>
    <xdr:clientData/>
  </xdr:twoCellAnchor>
  <xdr:twoCellAnchor>
    <xdr:from>
      <xdr:col>8</xdr:col>
      <xdr:colOff>664882</xdr:colOff>
      <xdr:row>16</xdr:row>
      <xdr:rowOff>37353</xdr:rowOff>
    </xdr:from>
    <xdr:to>
      <xdr:col>8</xdr:col>
      <xdr:colOff>823558</xdr:colOff>
      <xdr:row>16</xdr:row>
      <xdr:rowOff>219788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1F4F555D-AF6C-4B32-90F4-50BC5EE1467B}"/>
            </a:ext>
          </a:extLst>
        </xdr:cNvPr>
        <xdr:cNvSpPr txBox="1"/>
      </xdr:nvSpPr>
      <xdr:spPr>
        <a:xfrm>
          <a:off x="6447117" y="2480235"/>
          <a:ext cx="158676" cy="1824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1100"/>
            <a:t>: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C7A7118-DF7D-4642-8012-7D2C78E382C2}" autoFormatId="16" applyNumberFormats="0" applyBorderFormats="0" applyFontFormats="0" applyPatternFormats="0" applyAlignmentFormats="0" applyWidthHeightFormats="0">
  <queryTableRefresh nextId="14">
    <queryTableFields count="13">
      <queryTableField id="1" name="VENDOR NAME" tableColumnId="1"/>
      <queryTableField id="2" name="VENDOR CODE" tableColumnId="2"/>
      <queryTableField id="3" name="PHYSICAL ADDRESS" tableColumnId="3"/>
      <queryTableField id="4" name="CONTACT PERSON" tableColumnId="4"/>
      <queryTableField id="5" name="CONTACT NUMBER" tableColumnId="5"/>
      <queryTableField id="6" name="CURRENCY" tableColumnId="6"/>
      <queryTableField id="7" name="EMAIL ADDRESS" tableColumnId="7"/>
      <queryTableField id="8" name="WEBSITE" tableColumnId="8"/>
      <queryTableField id="9" name="SERVICES AND SUPPLIES" tableColumnId="9"/>
      <queryTableField id="10" name="PAYMENT TERMS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4CFD19-A5EF-43F7-AE6E-D463A1B073EC}" name="Suppliers__2" displayName="Suppliers__2" ref="A1:M185" tableType="queryTable" totalsRowShown="0">
  <autoFilter ref="A1:M185" xr:uid="{C04CFD19-A5EF-43F7-AE6E-D463A1B073EC}"/>
  <tableColumns count="13">
    <tableColumn id="1" xr3:uid="{222893CE-F0DC-470C-9A65-37161A275D86}" uniqueName="1" name="VENDOR NAME" queryTableFieldId="1" dataDxfId="31"/>
    <tableColumn id="2" xr3:uid="{B6892B44-E81D-4A23-A372-8F27538FA3F1}" uniqueName="2" name="VENDOR CODE" queryTableFieldId="2" dataDxfId="30"/>
    <tableColumn id="3" xr3:uid="{FA581D75-D8E4-4C34-B752-299208944633}" uniqueName="3" name="PHYSICAL ADDRESS" queryTableFieldId="3" dataDxfId="29"/>
    <tableColumn id="4" xr3:uid="{77A254B6-4F9C-4853-B1AB-896353383B3B}" uniqueName="4" name="CONTACT PERSON" queryTableFieldId="4" dataDxfId="28"/>
    <tableColumn id="5" xr3:uid="{8A96DD6D-D7D0-4844-B7BC-F345929687EE}" uniqueName="5" name="CONTACT NUMBER" queryTableFieldId="5" dataDxfId="27"/>
    <tableColumn id="6" xr3:uid="{2ECE53B2-9827-4F99-9FDF-06952B6B52B1}" uniqueName="6" name="CURRENCY" queryTableFieldId="6" dataDxfId="26"/>
    <tableColumn id="7" xr3:uid="{E54A5EBE-FE5E-4999-92E3-6954EE7687CF}" uniqueName="7" name="EMAIL ADDRESS" queryTableFieldId="7" dataDxfId="25"/>
    <tableColumn id="8" xr3:uid="{B0F51006-2B2B-403F-A5D4-9A6B0856C078}" uniqueName="8" name="WEBSITE" queryTableFieldId="8" dataDxfId="24"/>
    <tableColumn id="9" xr3:uid="{9C2A8CA0-AC4D-40A5-83B6-CDC2883F901B}" uniqueName="9" name="SERVICES AND SUPPLIES" queryTableFieldId="9" dataDxfId="23"/>
    <tableColumn id="10" xr3:uid="{36150FCD-2060-4EA4-A5E2-75BD1291AA18}" uniqueName="10" name="PAYMENT TERMS" queryTableFieldId="10" dataDxfId="22"/>
    <tableColumn id="11" xr3:uid="{5894FC4A-2001-4DE9-BA67-E0CD72414004}" uniqueName="11" name="Column11" queryTableFieldId="11"/>
    <tableColumn id="12" xr3:uid="{A292047A-53AF-462C-8BE2-0E00F68E961F}" uniqueName="12" name="Column12" queryTableFieldId="12"/>
    <tableColumn id="13" xr3:uid="{D4E0EB1D-3CC7-420D-BDCC-2B64A8A0D3DE}" uniqueName="13" name="Column13" queryTableField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A6F756-5F3B-4BF5-B1D5-13E9808CF3BA}">
  <dimension ref="A1:M185"/>
  <sheetViews>
    <sheetView topLeftCell="A160" workbookViewId="0">
      <selection activeCell="D175" sqref="D175"/>
    </sheetView>
  </sheetViews>
  <sheetFormatPr defaultRowHeight="14.5" x14ac:dyDescent="0.35"/>
  <cols>
    <col min="1" max="1" width="40.7265625" bestFit="1" customWidth="1"/>
    <col min="2" max="2" width="15.6328125" bestFit="1" customWidth="1"/>
    <col min="3" max="3" width="80.7265625" bestFit="1" customWidth="1"/>
    <col min="4" max="4" width="21.6328125" bestFit="1" customWidth="1"/>
    <col min="5" max="5" width="24.6328125" bestFit="1" customWidth="1"/>
    <col min="6" max="6" width="12.36328125" bestFit="1" customWidth="1"/>
    <col min="7" max="7" width="34.1796875" bestFit="1" customWidth="1"/>
    <col min="8" max="9" width="80.7265625" bestFit="1" customWidth="1"/>
    <col min="10" max="10" width="23.7265625" bestFit="1" customWidth="1"/>
    <col min="11" max="13" width="11.7265625" bestFit="1" customWidth="1"/>
  </cols>
  <sheetData>
    <row r="1" spans="1:13" x14ac:dyDescent="0.35">
      <c r="A1" t="s">
        <v>77</v>
      </c>
      <c r="B1" t="s">
        <v>65</v>
      </c>
      <c r="C1" t="s">
        <v>78</v>
      </c>
      <c r="D1" t="s">
        <v>79</v>
      </c>
      <c r="E1" t="s">
        <v>80</v>
      </c>
      <c r="F1" t="s">
        <v>4</v>
      </c>
      <c r="G1" t="s">
        <v>81</v>
      </c>
      <c r="H1" t="s">
        <v>82</v>
      </c>
      <c r="I1" t="s">
        <v>83</v>
      </c>
      <c r="J1" t="s">
        <v>1</v>
      </c>
      <c r="K1" t="s">
        <v>84</v>
      </c>
      <c r="L1" t="s">
        <v>85</v>
      </c>
      <c r="M1" t="s">
        <v>86</v>
      </c>
    </row>
    <row r="2" spans="1:13" x14ac:dyDescent="0.35">
      <c r="A2" t="s">
        <v>87</v>
      </c>
      <c r="B2" t="s">
        <v>88</v>
      </c>
      <c r="C2" t="s">
        <v>89</v>
      </c>
      <c r="D2" t="s">
        <v>90</v>
      </c>
      <c r="E2" t="s">
        <v>91</v>
      </c>
      <c r="F2" t="s">
        <v>47</v>
      </c>
      <c r="G2" t="s">
        <v>92</v>
      </c>
      <c r="H2" t="s">
        <v>93</v>
      </c>
      <c r="I2" t="s">
        <v>94</v>
      </c>
      <c r="J2" t="s">
        <v>95</v>
      </c>
    </row>
    <row r="3" spans="1:13" x14ac:dyDescent="0.35">
      <c r="A3" t="s">
        <v>96</v>
      </c>
      <c r="B3" t="s">
        <v>97</v>
      </c>
      <c r="C3" t="s">
        <v>98</v>
      </c>
      <c r="D3" t="s">
        <v>99</v>
      </c>
      <c r="E3" t="s">
        <v>100</v>
      </c>
      <c r="F3" t="s">
        <v>47</v>
      </c>
      <c r="G3" t="s">
        <v>101</v>
      </c>
      <c r="H3" t="s">
        <v>102</v>
      </c>
      <c r="I3" t="s">
        <v>103</v>
      </c>
      <c r="J3" t="s">
        <v>95</v>
      </c>
    </row>
    <row r="4" spans="1:13" x14ac:dyDescent="0.35">
      <c r="A4" t="s">
        <v>104</v>
      </c>
      <c r="B4" t="s">
        <v>105</v>
      </c>
      <c r="C4" t="s">
        <v>106</v>
      </c>
      <c r="D4" t="s">
        <v>107</v>
      </c>
      <c r="E4" t="s">
        <v>108</v>
      </c>
      <c r="F4" t="s">
        <v>47</v>
      </c>
      <c r="G4" t="s">
        <v>109</v>
      </c>
      <c r="H4" t="s">
        <v>110</v>
      </c>
      <c r="I4" t="s">
        <v>111</v>
      </c>
      <c r="J4" t="s">
        <v>95</v>
      </c>
    </row>
    <row r="5" spans="1:13" x14ac:dyDescent="0.35">
      <c r="A5" t="s">
        <v>112</v>
      </c>
      <c r="B5" t="s">
        <v>113</v>
      </c>
      <c r="C5" t="s">
        <v>114</v>
      </c>
      <c r="D5" t="s">
        <v>115</v>
      </c>
      <c r="E5" t="s">
        <v>116</v>
      </c>
      <c r="F5" t="s">
        <v>47</v>
      </c>
      <c r="G5" t="s">
        <v>117</v>
      </c>
      <c r="H5" t="s">
        <v>118</v>
      </c>
      <c r="I5" t="s">
        <v>119</v>
      </c>
      <c r="J5" t="s">
        <v>95</v>
      </c>
    </row>
    <row r="6" spans="1:13" x14ac:dyDescent="0.35">
      <c r="A6" t="s">
        <v>120</v>
      </c>
      <c r="B6" t="s">
        <v>121</v>
      </c>
      <c r="C6" t="s">
        <v>122</v>
      </c>
      <c r="D6" t="s">
        <v>123</v>
      </c>
      <c r="E6" t="s">
        <v>124</v>
      </c>
      <c r="F6" t="s">
        <v>47</v>
      </c>
      <c r="G6" t="s">
        <v>125</v>
      </c>
      <c r="H6" t="s">
        <v>126</v>
      </c>
      <c r="I6" t="s">
        <v>127</v>
      </c>
      <c r="J6" t="s">
        <v>95</v>
      </c>
    </row>
    <row r="7" spans="1:13" x14ac:dyDescent="0.35">
      <c r="A7" t="s">
        <v>128</v>
      </c>
      <c r="B7" t="s">
        <v>129</v>
      </c>
      <c r="C7" t="s">
        <v>130</v>
      </c>
      <c r="D7" t="s">
        <v>131</v>
      </c>
      <c r="E7" t="s">
        <v>132</v>
      </c>
      <c r="F7" t="s">
        <v>47</v>
      </c>
      <c r="G7" t="s">
        <v>133</v>
      </c>
      <c r="H7" t="s">
        <v>134</v>
      </c>
      <c r="I7" t="s">
        <v>135</v>
      </c>
      <c r="J7" t="s">
        <v>95</v>
      </c>
    </row>
    <row r="8" spans="1:13" x14ac:dyDescent="0.35">
      <c r="A8" t="s">
        <v>136</v>
      </c>
      <c r="B8" t="s">
        <v>137</v>
      </c>
      <c r="C8" t="s">
        <v>138</v>
      </c>
      <c r="D8" t="s">
        <v>139</v>
      </c>
      <c r="E8" t="s">
        <v>140</v>
      </c>
      <c r="F8" t="s">
        <v>47</v>
      </c>
      <c r="G8" t="s">
        <v>141</v>
      </c>
      <c r="H8" t="s">
        <v>142</v>
      </c>
      <c r="I8" t="s">
        <v>143</v>
      </c>
      <c r="J8" t="s">
        <v>95</v>
      </c>
    </row>
    <row r="9" spans="1:13" x14ac:dyDescent="0.35">
      <c r="A9" t="s">
        <v>144</v>
      </c>
      <c r="B9" t="s">
        <v>145</v>
      </c>
      <c r="C9" t="s">
        <v>146</v>
      </c>
      <c r="D9" t="s">
        <v>147</v>
      </c>
      <c r="E9" t="s">
        <v>148</v>
      </c>
      <c r="F9" t="s">
        <v>47</v>
      </c>
      <c r="G9" t="s">
        <v>149</v>
      </c>
      <c r="H9" t="s">
        <v>150</v>
      </c>
      <c r="I9" t="s">
        <v>151</v>
      </c>
      <c r="J9" t="s">
        <v>95</v>
      </c>
    </row>
    <row r="10" spans="1:13" x14ac:dyDescent="0.35">
      <c r="A10" t="s">
        <v>152</v>
      </c>
      <c r="B10" t="s">
        <v>153</v>
      </c>
      <c r="C10" t="s">
        <v>154</v>
      </c>
      <c r="D10" t="s">
        <v>155</v>
      </c>
      <c r="E10" t="s">
        <v>156</v>
      </c>
      <c r="F10" t="s">
        <v>47</v>
      </c>
      <c r="G10" t="s">
        <v>157</v>
      </c>
      <c r="H10" t="s">
        <v>158</v>
      </c>
      <c r="I10" t="s">
        <v>159</v>
      </c>
      <c r="J10" t="s">
        <v>95</v>
      </c>
    </row>
    <row r="11" spans="1:13" x14ac:dyDescent="0.35">
      <c r="A11" t="s">
        <v>160</v>
      </c>
      <c r="B11" t="s">
        <v>161</v>
      </c>
      <c r="C11" t="s">
        <v>162</v>
      </c>
      <c r="D11" t="s">
        <v>163</v>
      </c>
      <c r="E11" t="s">
        <v>164</v>
      </c>
      <c r="F11" t="s">
        <v>47</v>
      </c>
      <c r="G11" t="s">
        <v>165</v>
      </c>
      <c r="I11" t="s">
        <v>111</v>
      </c>
      <c r="J11" t="s">
        <v>95</v>
      </c>
    </row>
    <row r="12" spans="1:13" x14ac:dyDescent="0.35">
      <c r="A12" t="s">
        <v>166</v>
      </c>
      <c r="B12" t="s">
        <v>167</v>
      </c>
      <c r="C12" t="s">
        <v>168</v>
      </c>
      <c r="D12" t="s">
        <v>169</v>
      </c>
      <c r="E12" t="s">
        <v>170</v>
      </c>
      <c r="F12" t="s">
        <v>47</v>
      </c>
      <c r="G12" t="s">
        <v>171</v>
      </c>
      <c r="H12" t="s">
        <v>172</v>
      </c>
      <c r="I12" t="s">
        <v>173</v>
      </c>
      <c r="J12" t="s">
        <v>95</v>
      </c>
    </row>
    <row r="13" spans="1:13" x14ac:dyDescent="0.35">
      <c r="A13" t="s">
        <v>174</v>
      </c>
      <c r="B13" t="s">
        <v>175</v>
      </c>
      <c r="C13" t="s">
        <v>176</v>
      </c>
      <c r="D13" t="s">
        <v>147</v>
      </c>
      <c r="E13" t="s">
        <v>177</v>
      </c>
      <c r="F13" t="s">
        <v>47</v>
      </c>
      <c r="G13" t="s">
        <v>178</v>
      </c>
      <c r="I13" t="s">
        <v>179</v>
      </c>
      <c r="J13" t="s">
        <v>95</v>
      </c>
    </row>
    <row r="14" spans="1:13" x14ac:dyDescent="0.35">
      <c r="A14" t="s">
        <v>180</v>
      </c>
      <c r="B14" t="s">
        <v>181</v>
      </c>
      <c r="C14" t="s">
        <v>182</v>
      </c>
      <c r="D14" t="s">
        <v>183</v>
      </c>
      <c r="E14" t="s">
        <v>184</v>
      </c>
      <c r="F14" t="s">
        <v>47</v>
      </c>
      <c r="G14" t="s">
        <v>185</v>
      </c>
      <c r="H14" t="s">
        <v>186</v>
      </c>
      <c r="I14" t="s">
        <v>94</v>
      </c>
      <c r="J14" t="s">
        <v>95</v>
      </c>
    </row>
    <row r="15" spans="1:13" x14ac:dyDescent="0.35">
      <c r="A15" t="s">
        <v>187</v>
      </c>
      <c r="B15" t="s">
        <v>188</v>
      </c>
      <c r="C15" t="s">
        <v>189</v>
      </c>
      <c r="D15" t="s">
        <v>190</v>
      </c>
      <c r="E15" t="s">
        <v>191</v>
      </c>
      <c r="F15" t="s">
        <v>47</v>
      </c>
      <c r="G15" t="s">
        <v>192</v>
      </c>
      <c r="H15" t="s">
        <v>193</v>
      </c>
      <c r="I15" t="s">
        <v>194</v>
      </c>
      <c r="J15" t="s">
        <v>195</v>
      </c>
    </row>
    <row r="16" spans="1:13" x14ac:dyDescent="0.35">
      <c r="A16" t="s">
        <v>196</v>
      </c>
      <c r="B16" t="s">
        <v>197</v>
      </c>
      <c r="C16" t="s">
        <v>198</v>
      </c>
      <c r="D16" t="s">
        <v>1315</v>
      </c>
      <c r="E16" t="s">
        <v>199</v>
      </c>
      <c r="F16" t="s">
        <v>47</v>
      </c>
      <c r="G16" t="s">
        <v>1316</v>
      </c>
      <c r="H16" t="s">
        <v>200</v>
      </c>
      <c r="I16" t="s">
        <v>201</v>
      </c>
      <c r="J16" t="s">
        <v>95</v>
      </c>
    </row>
    <row r="17" spans="1:10" x14ac:dyDescent="0.35">
      <c r="A17" t="s">
        <v>202</v>
      </c>
      <c r="B17" t="s">
        <v>203</v>
      </c>
      <c r="C17" t="s">
        <v>204</v>
      </c>
      <c r="D17" t="s">
        <v>205</v>
      </c>
      <c r="E17" t="s">
        <v>206</v>
      </c>
      <c r="F17" t="s">
        <v>47</v>
      </c>
      <c r="G17" t="s">
        <v>207</v>
      </c>
      <c r="I17" t="s">
        <v>208</v>
      </c>
      <c r="J17" t="s">
        <v>209</v>
      </c>
    </row>
    <row r="18" spans="1:10" x14ac:dyDescent="0.35">
      <c r="A18" t="s">
        <v>210</v>
      </c>
      <c r="B18" t="s">
        <v>211</v>
      </c>
      <c r="C18" t="s">
        <v>212</v>
      </c>
      <c r="D18" t="s">
        <v>213</v>
      </c>
      <c r="E18" t="s">
        <v>214</v>
      </c>
      <c r="F18" t="s">
        <v>47</v>
      </c>
      <c r="G18" t="s">
        <v>215</v>
      </c>
      <c r="H18" t="s">
        <v>216</v>
      </c>
      <c r="I18" t="s">
        <v>217</v>
      </c>
      <c r="J18" t="s">
        <v>95</v>
      </c>
    </row>
    <row r="19" spans="1:10" x14ac:dyDescent="0.35">
      <c r="A19" t="s">
        <v>63</v>
      </c>
      <c r="B19" t="s">
        <v>218</v>
      </c>
      <c r="C19" t="s">
        <v>219</v>
      </c>
      <c r="D19" t="s">
        <v>220</v>
      </c>
      <c r="E19" t="s">
        <v>221</v>
      </c>
      <c r="F19" t="s">
        <v>47</v>
      </c>
      <c r="G19" t="s">
        <v>222</v>
      </c>
      <c r="H19" t="s">
        <v>223</v>
      </c>
      <c r="I19" t="s">
        <v>224</v>
      </c>
      <c r="J19" t="s">
        <v>95</v>
      </c>
    </row>
    <row r="20" spans="1:10" x14ac:dyDescent="0.35">
      <c r="A20" t="s">
        <v>225</v>
      </c>
      <c r="B20" t="s">
        <v>226</v>
      </c>
      <c r="C20" t="s">
        <v>227</v>
      </c>
      <c r="D20" t="s">
        <v>228</v>
      </c>
      <c r="E20" t="s">
        <v>229</v>
      </c>
      <c r="F20" t="s">
        <v>47</v>
      </c>
      <c r="G20" t="s">
        <v>230</v>
      </c>
      <c r="H20" t="s">
        <v>231</v>
      </c>
      <c r="I20" t="s">
        <v>232</v>
      </c>
      <c r="J20" t="s">
        <v>95</v>
      </c>
    </row>
    <row r="21" spans="1:10" x14ac:dyDescent="0.35">
      <c r="A21" t="s">
        <v>233</v>
      </c>
      <c r="B21" t="s">
        <v>234</v>
      </c>
      <c r="C21" t="s">
        <v>235</v>
      </c>
      <c r="D21" t="s">
        <v>228</v>
      </c>
      <c r="E21" t="s">
        <v>236</v>
      </c>
      <c r="F21" t="s">
        <v>47</v>
      </c>
      <c r="G21" t="s">
        <v>237</v>
      </c>
      <c r="H21" t="s">
        <v>238</v>
      </c>
      <c r="I21" t="s">
        <v>239</v>
      </c>
      <c r="J21" t="s">
        <v>95</v>
      </c>
    </row>
    <row r="22" spans="1:10" x14ac:dyDescent="0.35">
      <c r="A22" t="s">
        <v>240</v>
      </c>
      <c r="B22" t="s">
        <v>241</v>
      </c>
      <c r="C22" t="s">
        <v>242</v>
      </c>
      <c r="D22" t="s">
        <v>243</v>
      </c>
      <c r="E22" t="s">
        <v>244</v>
      </c>
      <c r="F22" t="s">
        <v>47</v>
      </c>
      <c r="G22" t="s">
        <v>245</v>
      </c>
      <c r="H22" t="s">
        <v>246</v>
      </c>
      <c r="I22" t="s">
        <v>247</v>
      </c>
      <c r="J22" t="s">
        <v>95</v>
      </c>
    </row>
    <row r="23" spans="1:10" x14ac:dyDescent="0.35">
      <c r="A23" t="s">
        <v>248</v>
      </c>
      <c r="B23" t="s">
        <v>249</v>
      </c>
      <c r="C23" t="s">
        <v>250</v>
      </c>
      <c r="D23" t="s">
        <v>228</v>
      </c>
      <c r="E23" t="s">
        <v>251</v>
      </c>
      <c r="F23" t="s">
        <v>47</v>
      </c>
      <c r="G23" t="s">
        <v>252</v>
      </c>
      <c r="H23" t="s">
        <v>253</v>
      </c>
      <c r="I23" t="s">
        <v>254</v>
      </c>
      <c r="J23" t="s">
        <v>95</v>
      </c>
    </row>
    <row r="24" spans="1:10" x14ac:dyDescent="0.35">
      <c r="A24" t="s">
        <v>255</v>
      </c>
      <c r="B24" t="s">
        <v>256</v>
      </c>
      <c r="C24" t="s">
        <v>257</v>
      </c>
      <c r="D24" t="s">
        <v>258</v>
      </c>
      <c r="E24" t="s">
        <v>259</v>
      </c>
      <c r="F24" t="s">
        <v>47</v>
      </c>
      <c r="G24" t="s">
        <v>260</v>
      </c>
      <c r="H24" t="s">
        <v>261</v>
      </c>
      <c r="I24" t="s">
        <v>224</v>
      </c>
      <c r="J24" t="s">
        <v>262</v>
      </c>
    </row>
    <row r="25" spans="1:10" x14ac:dyDescent="0.35">
      <c r="A25" t="s">
        <v>263</v>
      </c>
      <c r="B25" t="s">
        <v>264</v>
      </c>
      <c r="C25" t="s">
        <v>265</v>
      </c>
      <c r="D25" t="s">
        <v>266</v>
      </c>
      <c r="E25" t="s">
        <v>267</v>
      </c>
      <c r="F25" t="s">
        <v>47</v>
      </c>
      <c r="G25" t="s">
        <v>268</v>
      </c>
      <c r="J25" t="s">
        <v>95</v>
      </c>
    </row>
    <row r="26" spans="1:10" x14ac:dyDescent="0.35">
      <c r="A26" t="s">
        <v>269</v>
      </c>
      <c r="B26" t="s">
        <v>270</v>
      </c>
      <c r="F26" t="s">
        <v>47</v>
      </c>
      <c r="J26" t="s">
        <v>95</v>
      </c>
    </row>
    <row r="27" spans="1:10" x14ac:dyDescent="0.35">
      <c r="A27" t="s">
        <v>128</v>
      </c>
      <c r="B27" t="s">
        <v>271</v>
      </c>
    </row>
    <row r="28" spans="1:10" x14ac:dyDescent="0.35">
      <c r="A28" t="s">
        <v>272</v>
      </c>
      <c r="B28" t="s">
        <v>273</v>
      </c>
      <c r="C28" t="s">
        <v>274</v>
      </c>
      <c r="D28" t="s">
        <v>275</v>
      </c>
      <c r="E28" t="s">
        <v>276</v>
      </c>
      <c r="F28" t="s">
        <v>47</v>
      </c>
      <c r="G28" t="s">
        <v>277</v>
      </c>
      <c r="I28" t="s">
        <v>278</v>
      </c>
      <c r="J28" t="s">
        <v>279</v>
      </c>
    </row>
    <row r="29" spans="1:10" x14ac:dyDescent="0.35">
      <c r="A29" t="s">
        <v>280</v>
      </c>
      <c r="B29" t="s">
        <v>281</v>
      </c>
      <c r="C29" t="s">
        <v>282</v>
      </c>
      <c r="E29" t="s">
        <v>283</v>
      </c>
      <c r="F29" t="s">
        <v>47</v>
      </c>
      <c r="H29" t="s">
        <v>284</v>
      </c>
      <c r="I29" t="s">
        <v>285</v>
      </c>
      <c r="J29" t="s">
        <v>279</v>
      </c>
    </row>
    <row r="30" spans="1:10" x14ac:dyDescent="0.35">
      <c r="A30" t="s">
        <v>286</v>
      </c>
      <c r="B30" t="s">
        <v>287</v>
      </c>
      <c r="C30" t="s">
        <v>288</v>
      </c>
      <c r="E30" t="s">
        <v>289</v>
      </c>
      <c r="F30" t="s">
        <v>47</v>
      </c>
      <c r="G30" t="s">
        <v>290</v>
      </c>
      <c r="H30" t="s">
        <v>291</v>
      </c>
      <c r="I30" t="s">
        <v>292</v>
      </c>
      <c r="J30" t="s">
        <v>279</v>
      </c>
    </row>
    <row r="31" spans="1:10" x14ac:dyDescent="0.35">
      <c r="A31" t="s">
        <v>293</v>
      </c>
      <c r="B31" t="s">
        <v>294</v>
      </c>
      <c r="C31" t="s">
        <v>295</v>
      </c>
      <c r="E31" t="s">
        <v>296</v>
      </c>
      <c r="F31" t="s">
        <v>47</v>
      </c>
      <c r="G31" t="s">
        <v>297</v>
      </c>
      <c r="H31" t="s">
        <v>298</v>
      </c>
      <c r="I31" t="s">
        <v>299</v>
      </c>
      <c r="J31" t="s">
        <v>279</v>
      </c>
    </row>
    <row r="32" spans="1:10" x14ac:dyDescent="0.35">
      <c r="A32" t="s">
        <v>300</v>
      </c>
      <c r="B32" t="s">
        <v>301</v>
      </c>
      <c r="C32" t="s">
        <v>302</v>
      </c>
      <c r="D32" t="s">
        <v>303</v>
      </c>
      <c r="E32" t="s">
        <v>304</v>
      </c>
      <c r="F32" t="s">
        <v>47</v>
      </c>
      <c r="G32" t="s">
        <v>305</v>
      </c>
      <c r="H32" t="s">
        <v>306</v>
      </c>
      <c r="I32" t="s">
        <v>159</v>
      </c>
      <c r="J32" t="s">
        <v>279</v>
      </c>
    </row>
    <row r="33" spans="1:10" x14ac:dyDescent="0.35">
      <c r="A33" t="s">
        <v>307</v>
      </c>
      <c r="B33" t="s">
        <v>308</v>
      </c>
      <c r="C33" t="s">
        <v>309</v>
      </c>
      <c r="D33" t="s">
        <v>310</v>
      </c>
      <c r="E33" t="s">
        <v>311</v>
      </c>
      <c r="F33" t="s">
        <v>47</v>
      </c>
      <c r="G33" t="s">
        <v>312</v>
      </c>
      <c r="H33" t="s">
        <v>313</v>
      </c>
      <c r="I33" t="s">
        <v>314</v>
      </c>
      <c r="J33" t="s">
        <v>279</v>
      </c>
    </row>
    <row r="34" spans="1:10" x14ac:dyDescent="0.35">
      <c r="A34" t="s">
        <v>315</v>
      </c>
      <c r="B34" t="s">
        <v>316</v>
      </c>
      <c r="C34" t="s">
        <v>317</v>
      </c>
      <c r="E34" t="s">
        <v>318</v>
      </c>
      <c r="F34" t="s">
        <v>47</v>
      </c>
      <c r="G34" t="s">
        <v>319</v>
      </c>
      <c r="H34" t="s">
        <v>320</v>
      </c>
      <c r="I34" t="s">
        <v>321</v>
      </c>
      <c r="J34" t="s">
        <v>279</v>
      </c>
    </row>
    <row r="35" spans="1:10" x14ac:dyDescent="0.35">
      <c r="A35" t="s">
        <v>322</v>
      </c>
      <c r="B35" t="s">
        <v>323</v>
      </c>
      <c r="C35" t="s">
        <v>324</v>
      </c>
      <c r="E35" t="s">
        <v>325</v>
      </c>
      <c r="F35" t="s">
        <v>47</v>
      </c>
      <c r="G35" t="s">
        <v>326</v>
      </c>
      <c r="H35" t="s">
        <v>327</v>
      </c>
      <c r="I35" t="s">
        <v>321</v>
      </c>
      <c r="J35" t="s">
        <v>279</v>
      </c>
    </row>
    <row r="36" spans="1:10" x14ac:dyDescent="0.35">
      <c r="A36" t="s">
        <v>328</v>
      </c>
      <c r="B36" t="s">
        <v>329</v>
      </c>
      <c r="C36" t="s">
        <v>330</v>
      </c>
      <c r="E36" t="s">
        <v>331</v>
      </c>
      <c r="F36" t="s">
        <v>47</v>
      </c>
      <c r="H36" t="s">
        <v>332</v>
      </c>
      <c r="I36" t="s">
        <v>333</v>
      </c>
      <c r="J36" t="s">
        <v>279</v>
      </c>
    </row>
    <row r="37" spans="1:10" x14ac:dyDescent="0.35">
      <c r="A37" t="s">
        <v>334</v>
      </c>
      <c r="B37" t="s">
        <v>335</v>
      </c>
      <c r="C37" t="s">
        <v>336</v>
      </c>
      <c r="F37" t="s">
        <v>47</v>
      </c>
      <c r="I37" t="s">
        <v>179</v>
      </c>
      <c r="J37" t="s">
        <v>279</v>
      </c>
    </row>
    <row r="38" spans="1:10" x14ac:dyDescent="0.35">
      <c r="A38" t="s">
        <v>337</v>
      </c>
      <c r="B38" t="s">
        <v>338</v>
      </c>
      <c r="C38" t="s">
        <v>339</v>
      </c>
      <c r="D38" t="s">
        <v>340</v>
      </c>
      <c r="E38" t="s">
        <v>341</v>
      </c>
      <c r="F38" t="s">
        <v>47</v>
      </c>
      <c r="G38" t="s">
        <v>342</v>
      </c>
      <c r="H38" t="s">
        <v>343</v>
      </c>
      <c r="I38" t="s">
        <v>224</v>
      </c>
      <c r="J38" t="s">
        <v>279</v>
      </c>
    </row>
    <row r="39" spans="1:10" x14ac:dyDescent="0.35">
      <c r="A39" t="s">
        <v>344</v>
      </c>
      <c r="B39" t="s">
        <v>345</v>
      </c>
      <c r="C39" t="s">
        <v>346</v>
      </c>
      <c r="D39" t="s">
        <v>347</v>
      </c>
      <c r="E39" t="s">
        <v>348</v>
      </c>
      <c r="F39" t="s">
        <v>47</v>
      </c>
      <c r="G39" t="s">
        <v>349</v>
      </c>
      <c r="H39" t="s">
        <v>350</v>
      </c>
      <c r="I39" t="s">
        <v>351</v>
      </c>
      <c r="J39" t="s">
        <v>279</v>
      </c>
    </row>
    <row r="40" spans="1:10" x14ac:dyDescent="0.35">
      <c r="A40" t="s">
        <v>352</v>
      </c>
      <c r="B40" t="s">
        <v>353</v>
      </c>
      <c r="C40" t="s">
        <v>354</v>
      </c>
      <c r="E40" t="s">
        <v>355</v>
      </c>
      <c r="F40" t="s">
        <v>47</v>
      </c>
      <c r="G40" t="s">
        <v>356</v>
      </c>
      <c r="H40" t="s">
        <v>357</v>
      </c>
      <c r="I40" t="s">
        <v>358</v>
      </c>
    </row>
    <row r="41" spans="1:10" x14ac:dyDescent="0.35">
      <c r="A41" t="s">
        <v>359</v>
      </c>
      <c r="B41" t="s">
        <v>360</v>
      </c>
      <c r="C41" t="s">
        <v>361</v>
      </c>
      <c r="E41" t="s">
        <v>362</v>
      </c>
      <c r="F41" t="s">
        <v>47</v>
      </c>
      <c r="G41" t="s">
        <v>363</v>
      </c>
      <c r="H41" t="s">
        <v>364</v>
      </c>
      <c r="I41" t="s">
        <v>365</v>
      </c>
      <c r="J41" t="s">
        <v>279</v>
      </c>
    </row>
    <row r="42" spans="1:10" x14ac:dyDescent="0.35">
      <c r="A42" t="s">
        <v>366</v>
      </c>
      <c r="B42" t="s">
        <v>367</v>
      </c>
      <c r="C42" t="s">
        <v>368</v>
      </c>
      <c r="E42" t="s">
        <v>369</v>
      </c>
      <c r="F42" t="s">
        <v>47</v>
      </c>
      <c r="G42" t="s">
        <v>370</v>
      </c>
      <c r="H42" t="s">
        <v>350</v>
      </c>
      <c r="I42" t="s">
        <v>371</v>
      </c>
      <c r="J42" t="s">
        <v>279</v>
      </c>
    </row>
    <row r="43" spans="1:10" x14ac:dyDescent="0.35">
      <c r="A43" t="s">
        <v>372</v>
      </c>
      <c r="B43" t="s">
        <v>373</v>
      </c>
      <c r="C43" t="s">
        <v>374</v>
      </c>
      <c r="D43" t="s">
        <v>375</v>
      </c>
      <c r="E43" t="s">
        <v>376</v>
      </c>
      <c r="F43" t="s">
        <v>47</v>
      </c>
      <c r="G43" t="s">
        <v>377</v>
      </c>
      <c r="H43" t="s">
        <v>378</v>
      </c>
      <c r="I43" t="s">
        <v>299</v>
      </c>
      <c r="J43" t="s">
        <v>279</v>
      </c>
    </row>
    <row r="44" spans="1:10" x14ac:dyDescent="0.35">
      <c r="A44" t="s">
        <v>379</v>
      </c>
      <c r="B44" t="s">
        <v>380</v>
      </c>
      <c r="C44" t="s">
        <v>381</v>
      </c>
      <c r="D44" t="s">
        <v>382</v>
      </c>
      <c r="E44" t="s">
        <v>383</v>
      </c>
      <c r="F44" t="s">
        <v>47</v>
      </c>
      <c r="G44" t="s">
        <v>384</v>
      </c>
      <c r="H44" t="s">
        <v>385</v>
      </c>
      <c r="I44" t="s">
        <v>386</v>
      </c>
      <c r="J44" t="s">
        <v>279</v>
      </c>
    </row>
    <row r="45" spans="1:10" x14ac:dyDescent="0.35">
      <c r="A45" t="s">
        <v>387</v>
      </c>
      <c r="B45" t="s">
        <v>388</v>
      </c>
      <c r="C45" t="s">
        <v>389</v>
      </c>
      <c r="D45" t="s">
        <v>390</v>
      </c>
      <c r="E45" t="s">
        <v>391</v>
      </c>
      <c r="F45" t="s">
        <v>47</v>
      </c>
      <c r="G45" t="s">
        <v>392</v>
      </c>
      <c r="H45" t="s">
        <v>393</v>
      </c>
      <c r="I45" t="s">
        <v>394</v>
      </c>
      <c r="J45" t="s">
        <v>279</v>
      </c>
    </row>
    <row r="46" spans="1:10" x14ac:dyDescent="0.35">
      <c r="A46" t="s">
        <v>395</v>
      </c>
      <c r="B46" t="s">
        <v>396</v>
      </c>
      <c r="C46" t="s">
        <v>397</v>
      </c>
      <c r="D46" t="s">
        <v>398</v>
      </c>
      <c r="E46" t="s">
        <v>399</v>
      </c>
      <c r="F46" t="s">
        <v>47</v>
      </c>
      <c r="G46" t="s">
        <v>400</v>
      </c>
      <c r="H46" t="s">
        <v>401</v>
      </c>
      <c r="I46" t="s">
        <v>402</v>
      </c>
      <c r="J46" t="s">
        <v>279</v>
      </c>
    </row>
    <row r="47" spans="1:10" x14ac:dyDescent="0.35">
      <c r="A47" t="s">
        <v>403</v>
      </c>
      <c r="B47" t="s">
        <v>404</v>
      </c>
      <c r="C47" t="s">
        <v>405</v>
      </c>
      <c r="D47" t="s">
        <v>406</v>
      </c>
      <c r="E47" t="s">
        <v>407</v>
      </c>
      <c r="F47" t="s">
        <v>47</v>
      </c>
      <c r="G47" t="s">
        <v>408</v>
      </c>
      <c r="I47" t="s">
        <v>409</v>
      </c>
      <c r="J47" t="s">
        <v>279</v>
      </c>
    </row>
    <row r="48" spans="1:10" x14ac:dyDescent="0.35">
      <c r="A48" t="s">
        <v>410</v>
      </c>
      <c r="B48" t="s">
        <v>411</v>
      </c>
      <c r="C48" t="s">
        <v>412</v>
      </c>
      <c r="E48" t="s">
        <v>413</v>
      </c>
      <c r="F48" t="s">
        <v>47</v>
      </c>
      <c r="G48" t="s">
        <v>414</v>
      </c>
      <c r="I48" t="s">
        <v>415</v>
      </c>
      <c r="J48" t="s">
        <v>279</v>
      </c>
    </row>
    <row r="49" spans="1:10" x14ac:dyDescent="0.35">
      <c r="A49" t="s">
        <v>269</v>
      </c>
      <c r="B49" t="s">
        <v>416</v>
      </c>
      <c r="C49" t="s">
        <v>417</v>
      </c>
      <c r="D49" t="s">
        <v>418</v>
      </c>
      <c r="E49" t="s">
        <v>419</v>
      </c>
      <c r="F49" t="s">
        <v>47</v>
      </c>
      <c r="G49" t="s">
        <v>420</v>
      </c>
      <c r="H49" t="s">
        <v>421</v>
      </c>
      <c r="I49" t="s">
        <v>314</v>
      </c>
      <c r="J49" t="s">
        <v>279</v>
      </c>
    </row>
    <row r="50" spans="1:10" x14ac:dyDescent="0.35">
      <c r="A50" t="s">
        <v>422</v>
      </c>
      <c r="B50" t="s">
        <v>423</v>
      </c>
      <c r="C50" t="s">
        <v>424</v>
      </c>
      <c r="E50" t="s">
        <v>425</v>
      </c>
      <c r="F50" t="s">
        <v>47</v>
      </c>
      <c r="G50" t="s">
        <v>426</v>
      </c>
      <c r="H50" t="s">
        <v>427</v>
      </c>
      <c r="I50" t="s">
        <v>428</v>
      </c>
      <c r="J50" t="s">
        <v>279</v>
      </c>
    </row>
    <row r="51" spans="1:10" x14ac:dyDescent="0.35">
      <c r="A51" t="s">
        <v>429</v>
      </c>
      <c r="B51" t="s">
        <v>430</v>
      </c>
      <c r="C51" t="s">
        <v>431</v>
      </c>
      <c r="D51" t="s">
        <v>432</v>
      </c>
      <c r="E51" t="s">
        <v>433</v>
      </c>
      <c r="F51" t="s">
        <v>47</v>
      </c>
      <c r="G51" t="s">
        <v>434</v>
      </c>
      <c r="H51" t="s">
        <v>435</v>
      </c>
      <c r="I51" t="s">
        <v>436</v>
      </c>
      <c r="J51" t="s">
        <v>279</v>
      </c>
    </row>
    <row r="52" spans="1:10" x14ac:dyDescent="0.35">
      <c r="A52" t="s">
        <v>437</v>
      </c>
      <c r="B52" t="s">
        <v>438</v>
      </c>
      <c r="C52" t="s">
        <v>439</v>
      </c>
      <c r="D52" t="s">
        <v>440</v>
      </c>
      <c r="E52" t="s">
        <v>441</v>
      </c>
      <c r="F52" t="s">
        <v>47</v>
      </c>
      <c r="G52" t="s">
        <v>442</v>
      </c>
      <c r="H52" t="s">
        <v>443</v>
      </c>
      <c r="I52" t="s">
        <v>444</v>
      </c>
      <c r="J52" t="s">
        <v>279</v>
      </c>
    </row>
    <row r="53" spans="1:10" x14ac:dyDescent="0.35">
      <c r="A53" t="s">
        <v>445</v>
      </c>
      <c r="B53" t="s">
        <v>446</v>
      </c>
      <c r="C53" t="s">
        <v>447</v>
      </c>
      <c r="E53" t="s">
        <v>448</v>
      </c>
      <c r="F53" t="s">
        <v>47</v>
      </c>
      <c r="G53" t="s">
        <v>449</v>
      </c>
      <c r="H53" t="s">
        <v>450</v>
      </c>
      <c r="I53" t="s">
        <v>224</v>
      </c>
      <c r="J53" t="s">
        <v>279</v>
      </c>
    </row>
    <row r="54" spans="1:10" x14ac:dyDescent="0.35">
      <c r="A54" t="s">
        <v>451</v>
      </c>
      <c r="B54" t="s">
        <v>452</v>
      </c>
      <c r="C54" t="s">
        <v>453</v>
      </c>
      <c r="D54" t="s">
        <v>454</v>
      </c>
      <c r="E54" t="s">
        <v>455</v>
      </c>
      <c r="F54" t="s">
        <v>47</v>
      </c>
      <c r="G54" t="s">
        <v>456</v>
      </c>
      <c r="H54" t="s">
        <v>457</v>
      </c>
      <c r="I54" t="s">
        <v>458</v>
      </c>
      <c r="J54" t="s">
        <v>279</v>
      </c>
    </row>
    <row r="55" spans="1:10" x14ac:dyDescent="0.35">
      <c r="A55" t="s">
        <v>459</v>
      </c>
      <c r="B55" t="s">
        <v>460</v>
      </c>
      <c r="C55" t="s">
        <v>461</v>
      </c>
      <c r="E55" t="s">
        <v>462</v>
      </c>
      <c r="F55" t="s">
        <v>47</v>
      </c>
      <c r="G55" t="s">
        <v>463</v>
      </c>
      <c r="H55" t="s">
        <v>464</v>
      </c>
      <c r="I55" t="s">
        <v>465</v>
      </c>
      <c r="J55" t="s">
        <v>279</v>
      </c>
    </row>
    <row r="56" spans="1:10" x14ac:dyDescent="0.35">
      <c r="A56" t="s">
        <v>466</v>
      </c>
      <c r="B56" t="s">
        <v>467</v>
      </c>
      <c r="C56" t="s">
        <v>468</v>
      </c>
      <c r="E56" t="s">
        <v>469</v>
      </c>
      <c r="F56" t="s">
        <v>47</v>
      </c>
      <c r="G56" t="s">
        <v>470</v>
      </c>
      <c r="H56" t="s">
        <v>471</v>
      </c>
      <c r="I56" t="s">
        <v>321</v>
      </c>
      <c r="J56" t="s">
        <v>279</v>
      </c>
    </row>
    <row r="57" spans="1:10" x14ac:dyDescent="0.35">
      <c r="A57" t="s">
        <v>472</v>
      </c>
      <c r="B57" t="s">
        <v>473</v>
      </c>
      <c r="C57" t="s">
        <v>474</v>
      </c>
      <c r="D57" t="s">
        <v>475</v>
      </c>
      <c r="E57" t="s">
        <v>476</v>
      </c>
      <c r="F57" t="s">
        <v>47</v>
      </c>
      <c r="G57" t="s">
        <v>477</v>
      </c>
      <c r="H57" t="s">
        <v>478</v>
      </c>
      <c r="I57" t="s">
        <v>479</v>
      </c>
      <c r="J57" t="s">
        <v>279</v>
      </c>
    </row>
    <row r="58" spans="1:10" x14ac:dyDescent="0.35">
      <c r="A58" t="s">
        <v>480</v>
      </c>
      <c r="B58" t="s">
        <v>481</v>
      </c>
      <c r="C58" t="s">
        <v>482</v>
      </c>
      <c r="D58" t="s">
        <v>483</v>
      </c>
      <c r="E58" t="s">
        <v>484</v>
      </c>
      <c r="F58" t="s">
        <v>47</v>
      </c>
      <c r="G58" t="s">
        <v>485</v>
      </c>
      <c r="H58" t="s">
        <v>486</v>
      </c>
      <c r="I58" t="s">
        <v>487</v>
      </c>
      <c r="J58" t="s">
        <v>279</v>
      </c>
    </row>
    <row r="59" spans="1:10" x14ac:dyDescent="0.35">
      <c r="A59" t="s">
        <v>488</v>
      </c>
      <c r="B59" t="s">
        <v>489</v>
      </c>
      <c r="C59" t="s">
        <v>490</v>
      </c>
      <c r="E59" t="s">
        <v>491</v>
      </c>
      <c r="F59" t="s">
        <v>47</v>
      </c>
      <c r="G59" t="s">
        <v>492</v>
      </c>
      <c r="H59" t="s">
        <v>493</v>
      </c>
      <c r="I59" t="s">
        <v>494</v>
      </c>
      <c r="J59" t="s">
        <v>279</v>
      </c>
    </row>
    <row r="60" spans="1:10" x14ac:dyDescent="0.35">
      <c r="A60" t="s">
        <v>495</v>
      </c>
      <c r="B60" t="s">
        <v>496</v>
      </c>
      <c r="C60" t="s">
        <v>497</v>
      </c>
      <c r="D60" t="s">
        <v>498</v>
      </c>
      <c r="E60" t="s">
        <v>499</v>
      </c>
      <c r="F60" t="s">
        <v>47</v>
      </c>
      <c r="G60" t="s">
        <v>500</v>
      </c>
      <c r="H60" t="s">
        <v>501</v>
      </c>
      <c r="I60" t="s">
        <v>502</v>
      </c>
      <c r="J60" t="s">
        <v>279</v>
      </c>
    </row>
    <row r="61" spans="1:10" x14ac:dyDescent="0.35">
      <c r="A61" t="s">
        <v>503</v>
      </c>
      <c r="B61" t="s">
        <v>504</v>
      </c>
      <c r="C61" t="s">
        <v>505</v>
      </c>
      <c r="E61" t="s">
        <v>506</v>
      </c>
      <c r="F61" t="s">
        <v>47</v>
      </c>
      <c r="G61" t="s">
        <v>507</v>
      </c>
      <c r="H61" t="s">
        <v>508</v>
      </c>
      <c r="I61" t="s">
        <v>365</v>
      </c>
      <c r="J61" t="s">
        <v>279</v>
      </c>
    </row>
    <row r="62" spans="1:10" x14ac:dyDescent="0.35">
      <c r="A62" t="s">
        <v>509</v>
      </c>
      <c r="B62" t="s">
        <v>510</v>
      </c>
      <c r="C62" t="s">
        <v>511</v>
      </c>
      <c r="E62" t="s">
        <v>512</v>
      </c>
      <c r="F62" t="s">
        <v>47</v>
      </c>
      <c r="G62" t="s">
        <v>513</v>
      </c>
      <c r="H62" t="s">
        <v>514</v>
      </c>
      <c r="I62" t="s">
        <v>515</v>
      </c>
      <c r="J62" t="s">
        <v>279</v>
      </c>
    </row>
    <row r="63" spans="1:10" x14ac:dyDescent="0.35">
      <c r="A63" t="s">
        <v>516</v>
      </c>
      <c r="B63" t="s">
        <v>517</v>
      </c>
      <c r="C63" t="s">
        <v>518</v>
      </c>
      <c r="E63" t="s">
        <v>519</v>
      </c>
      <c r="F63" t="s">
        <v>47</v>
      </c>
      <c r="G63" t="s">
        <v>520</v>
      </c>
      <c r="H63" t="s">
        <v>521</v>
      </c>
      <c r="I63" t="s">
        <v>522</v>
      </c>
      <c r="J63" t="s">
        <v>279</v>
      </c>
    </row>
    <row r="64" spans="1:10" x14ac:dyDescent="0.35">
      <c r="A64" t="s">
        <v>523</v>
      </c>
      <c r="B64" t="s">
        <v>524</v>
      </c>
      <c r="C64" t="s">
        <v>525</v>
      </c>
      <c r="D64" t="s">
        <v>526</v>
      </c>
      <c r="E64" t="s">
        <v>527</v>
      </c>
      <c r="F64" t="s">
        <v>47</v>
      </c>
      <c r="G64" t="s">
        <v>528</v>
      </c>
      <c r="H64" t="s">
        <v>529</v>
      </c>
      <c r="I64" t="s">
        <v>530</v>
      </c>
      <c r="J64" t="s">
        <v>279</v>
      </c>
    </row>
    <row r="65" spans="1:10" x14ac:dyDescent="0.35">
      <c r="A65" t="s">
        <v>531</v>
      </c>
      <c r="B65" t="s">
        <v>532</v>
      </c>
      <c r="C65" t="s">
        <v>533</v>
      </c>
      <c r="D65" t="s">
        <v>534</v>
      </c>
      <c r="E65" t="s">
        <v>535</v>
      </c>
      <c r="F65" t="s">
        <v>47</v>
      </c>
      <c r="G65" t="s">
        <v>536</v>
      </c>
      <c r="H65" t="s">
        <v>537</v>
      </c>
      <c r="I65" t="s">
        <v>538</v>
      </c>
      <c r="J65" t="s">
        <v>279</v>
      </c>
    </row>
    <row r="66" spans="1:10" x14ac:dyDescent="0.35">
      <c r="A66" t="s">
        <v>539</v>
      </c>
      <c r="B66" t="s">
        <v>540</v>
      </c>
      <c r="E66" t="s">
        <v>541</v>
      </c>
      <c r="F66" t="s">
        <v>47</v>
      </c>
      <c r="G66" t="s">
        <v>542</v>
      </c>
      <c r="H66" t="s">
        <v>543</v>
      </c>
      <c r="I66" t="s">
        <v>544</v>
      </c>
      <c r="J66" t="s">
        <v>279</v>
      </c>
    </row>
    <row r="67" spans="1:10" x14ac:dyDescent="0.35">
      <c r="A67" t="s">
        <v>545</v>
      </c>
      <c r="B67" t="s">
        <v>546</v>
      </c>
      <c r="D67" t="s">
        <v>547</v>
      </c>
      <c r="E67" t="s">
        <v>548</v>
      </c>
      <c r="F67" t="s">
        <v>47</v>
      </c>
      <c r="G67" t="s">
        <v>549</v>
      </c>
      <c r="H67" t="s">
        <v>550</v>
      </c>
      <c r="I67" t="s">
        <v>551</v>
      </c>
      <c r="J67" t="s">
        <v>279</v>
      </c>
    </row>
    <row r="68" spans="1:10" x14ac:dyDescent="0.35">
      <c r="A68" t="s">
        <v>552</v>
      </c>
      <c r="B68" t="s">
        <v>553</v>
      </c>
      <c r="C68" t="s">
        <v>554</v>
      </c>
      <c r="E68" t="s">
        <v>555</v>
      </c>
      <c r="F68" t="s">
        <v>47</v>
      </c>
      <c r="G68" t="s">
        <v>556</v>
      </c>
      <c r="H68" t="s">
        <v>557</v>
      </c>
      <c r="I68" t="s">
        <v>558</v>
      </c>
      <c r="J68" t="s">
        <v>279</v>
      </c>
    </row>
    <row r="69" spans="1:10" x14ac:dyDescent="0.35">
      <c r="A69" t="s">
        <v>559</v>
      </c>
      <c r="B69" t="s">
        <v>560</v>
      </c>
      <c r="C69" t="s">
        <v>561</v>
      </c>
      <c r="E69" t="s">
        <v>562</v>
      </c>
      <c r="F69" t="s">
        <v>47</v>
      </c>
      <c r="G69" t="s">
        <v>563</v>
      </c>
      <c r="H69" t="s">
        <v>564</v>
      </c>
      <c r="I69" t="s">
        <v>565</v>
      </c>
      <c r="J69" t="s">
        <v>279</v>
      </c>
    </row>
    <row r="70" spans="1:10" x14ac:dyDescent="0.35">
      <c r="A70" t="s">
        <v>566</v>
      </c>
      <c r="B70" t="s">
        <v>567</v>
      </c>
      <c r="C70" t="s">
        <v>568</v>
      </c>
      <c r="D70" t="s">
        <v>569</v>
      </c>
      <c r="E70" t="s">
        <v>570</v>
      </c>
      <c r="F70" t="s">
        <v>47</v>
      </c>
      <c r="G70" t="s">
        <v>571</v>
      </c>
      <c r="H70" t="s">
        <v>572</v>
      </c>
      <c r="I70" t="s">
        <v>573</v>
      </c>
      <c r="J70" t="s">
        <v>279</v>
      </c>
    </row>
    <row r="71" spans="1:10" x14ac:dyDescent="0.35">
      <c r="A71" t="s">
        <v>574</v>
      </c>
      <c r="B71" t="s">
        <v>575</v>
      </c>
      <c r="C71" t="s">
        <v>576</v>
      </c>
      <c r="D71" t="s">
        <v>577</v>
      </c>
      <c r="E71" t="s">
        <v>578</v>
      </c>
      <c r="F71" t="s">
        <v>47</v>
      </c>
      <c r="G71" t="s">
        <v>579</v>
      </c>
      <c r="H71" t="s">
        <v>580</v>
      </c>
      <c r="I71" t="s">
        <v>365</v>
      </c>
      <c r="J71" t="s">
        <v>279</v>
      </c>
    </row>
    <row r="72" spans="1:10" x14ac:dyDescent="0.35">
      <c r="A72" t="s">
        <v>581</v>
      </c>
      <c r="B72" t="s">
        <v>582</v>
      </c>
      <c r="C72" t="s">
        <v>583</v>
      </c>
      <c r="E72" t="s">
        <v>584</v>
      </c>
      <c r="F72" t="s">
        <v>47</v>
      </c>
      <c r="G72" t="s">
        <v>585</v>
      </c>
      <c r="H72" t="s">
        <v>586</v>
      </c>
      <c r="I72" t="s">
        <v>587</v>
      </c>
      <c r="J72" t="s">
        <v>279</v>
      </c>
    </row>
    <row r="73" spans="1:10" x14ac:dyDescent="0.35">
      <c r="A73" t="s">
        <v>588</v>
      </c>
      <c r="B73" t="s">
        <v>589</v>
      </c>
      <c r="C73" t="s">
        <v>590</v>
      </c>
      <c r="E73" t="s">
        <v>591</v>
      </c>
      <c r="F73" t="s">
        <v>47</v>
      </c>
      <c r="G73" t="s">
        <v>592</v>
      </c>
      <c r="H73" t="s">
        <v>593</v>
      </c>
      <c r="I73" t="s">
        <v>544</v>
      </c>
      <c r="J73" t="s">
        <v>279</v>
      </c>
    </row>
    <row r="74" spans="1:10" x14ac:dyDescent="0.35">
      <c r="A74" t="s">
        <v>594</v>
      </c>
      <c r="B74" t="s">
        <v>595</v>
      </c>
      <c r="C74" t="s">
        <v>596</v>
      </c>
      <c r="E74" t="s">
        <v>597</v>
      </c>
      <c r="F74" t="s">
        <v>47</v>
      </c>
      <c r="G74" t="s">
        <v>598</v>
      </c>
      <c r="I74" t="s">
        <v>599</v>
      </c>
      <c r="J74" t="s">
        <v>279</v>
      </c>
    </row>
    <row r="75" spans="1:10" x14ac:dyDescent="0.35">
      <c r="A75" t="s">
        <v>600</v>
      </c>
      <c r="B75" t="s">
        <v>601</v>
      </c>
      <c r="C75" t="s">
        <v>602</v>
      </c>
      <c r="D75" t="s">
        <v>603</v>
      </c>
      <c r="E75" t="s">
        <v>604</v>
      </c>
      <c r="F75" t="s">
        <v>47</v>
      </c>
      <c r="G75" t="s">
        <v>605</v>
      </c>
      <c r="H75" t="s">
        <v>606</v>
      </c>
      <c r="I75" t="s">
        <v>607</v>
      </c>
      <c r="J75" t="s">
        <v>279</v>
      </c>
    </row>
    <row r="76" spans="1:10" x14ac:dyDescent="0.35">
      <c r="A76" t="s">
        <v>608</v>
      </c>
      <c r="B76" t="s">
        <v>609</v>
      </c>
      <c r="C76" t="s">
        <v>610</v>
      </c>
      <c r="E76" t="s">
        <v>611</v>
      </c>
      <c r="F76" t="s">
        <v>47</v>
      </c>
      <c r="G76" t="s">
        <v>612</v>
      </c>
      <c r="H76" t="s">
        <v>613</v>
      </c>
      <c r="I76" t="s">
        <v>614</v>
      </c>
      <c r="J76" t="s">
        <v>279</v>
      </c>
    </row>
    <row r="77" spans="1:10" x14ac:dyDescent="0.35">
      <c r="A77" t="s">
        <v>615</v>
      </c>
      <c r="B77" t="s">
        <v>616</v>
      </c>
      <c r="C77" t="s">
        <v>617</v>
      </c>
      <c r="E77" t="s">
        <v>618</v>
      </c>
      <c r="F77" t="s">
        <v>47</v>
      </c>
      <c r="G77" t="s">
        <v>619</v>
      </c>
      <c r="H77" t="s">
        <v>620</v>
      </c>
      <c r="I77" t="s">
        <v>621</v>
      </c>
      <c r="J77" t="s">
        <v>279</v>
      </c>
    </row>
    <row r="78" spans="1:10" x14ac:dyDescent="0.35">
      <c r="A78" t="s">
        <v>622</v>
      </c>
      <c r="B78" t="s">
        <v>623</v>
      </c>
      <c r="C78" t="s">
        <v>624</v>
      </c>
      <c r="E78" t="s">
        <v>625</v>
      </c>
      <c r="F78" t="s">
        <v>47</v>
      </c>
      <c r="G78" t="s">
        <v>626</v>
      </c>
      <c r="H78" t="s">
        <v>627</v>
      </c>
      <c r="I78" t="s">
        <v>628</v>
      </c>
      <c r="J78" t="s">
        <v>279</v>
      </c>
    </row>
    <row r="79" spans="1:10" x14ac:dyDescent="0.35">
      <c r="A79" t="s">
        <v>629</v>
      </c>
      <c r="B79" t="s">
        <v>630</v>
      </c>
      <c r="C79" t="s">
        <v>631</v>
      </c>
      <c r="D79" t="s">
        <v>632</v>
      </c>
      <c r="E79" t="s">
        <v>633</v>
      </c>
      <c r="F79" t="s">
        <v>47</v>
      </c>
      <c r="G79" t="s">
        <v>634</v>
      </c>
      <c r="H79" t="s">
        <v>635</v>
      </c>
      <c r="I79" t="s">
        <v>636</v>
      </c>
      <c r="J79" t="s">
        <v>279</v>
      </c>
    </row>
    <row r="80" spans="1:10" x14ac:dyDescent="0.35">
      <c r="A80" t="s">
        <v>637</v>
      </c>
      <c r="B80" t="s">
        <v>638</v>
      </c>
      <c r="C80" t="s">
        <v>639</v>
      </c>
      <c r="D80" t="s">
        <v>640</v>
      </c>
      <c r="E80" t="s">
        <v>641</v>
      </c>
      <c r="F80" t="s">
        <v>47</v>
      </c>
      <c r="G80" t="s">
        <v>642</v>
      </c>
      <c r="H80" t="s">
        <v>643</v>
      </c>
      <c r="I80" t="s">
        <v>179</v>
      </c>
      <c r="J80" t="s">
        <v>644</v>
      </c>
    </row>
    <row r="81" spans="1:10" x14ac:dyDescent="0.35">
      <c r="A81" t="s">
        <v>645</v>
      </c>
      <c r="B81" t="s">
        <v>646</v>
      </c>
      <c r="C81" t="s">
        <v>647</v>
      </c>
      <c r="E81" t="s">
        <v>648</v>
      </c>
      <c r="F81" t="s">
        <v>47</v>
      </c>
      <c r="G81" t="s">
        <v>649</v>
      </c>
      <c r="H81" t="s">
        <v>650</v>
      </c>
      <c r="I81" t="s">
        <v>651</v>
      </c>
      <c r="J81" t="s">
        <v>279</v>
      </c>
    </row>
    <row r="82" spans="1:10" x14ac:dyDescent="0.35">
      <c r="A82" t="s">
        <v>652</v>
      </c>
      <c r="B82" t="s">
        <v>653</v>
      </c>
      <c r="C82" t="s">
        <v>654</v>
      </c>
      <c r="E82" t="s">
        <v>655</v>
      </c>
      <c r="F82" t="s">
        <v>47</v>
      </c>
      <c r="G82" t="s">
        <v>656</v>
      </c>
      <c r="H82" t="s">
        <v>657</v>
      </c>
      <c r="I82" t="s">
        <v>658</v>
      </c>
      <c r="J82" t="s">
        <v>279</v>
      </c>
    </row>
    <row r="83" spans="1:10" x14ac:dyDescent="0.35">
      <c r="A83" t="s">
        <v>659</v>
      </c>
      <c r="B83" t="s">
        <v>660</v>
      </c>
      <c r="C83" t="s">
        <v>661</v>
      </c>
      <c r="E83" t="s">
        <v>662</v>
      </c>
      <c r="F83" t="s">
        <v>47</v>
      </c>
      <c r="G83" t="s">
        <v>663</v>
      </c>
      <c r="H83" t="s">
        <v>664</v>
      </c>
      <c r="I83" t="s">
        <v>665</v>
      </c>
      <c r="J83" t="s">
        <v>279</v>
      </c>
    </row>
    <row r="84" spans="1:10" x14ac:dyDescent="0.35">
      <c r="A84" t="s">
        <v>666</v>
      </c>
      <c r="B84" t="s">
        <v>667</v>
      </c>
      <c r="C84" t="s">
        <v>668</v>
      </c>
      <c r="D84" t="s">
        <v>669</v>
      </c>
      <c r="E84" t="s">
        <v>670</v>
      </c>
      <c r="F84" t="s">
        <v>47</v>
      </c>
      <c r="G84" t="s">
        <v>671</v>
      </c>
      <c r="H84" t="s">
        <v>672</v>
      </c>
      <c r="I84" t="s">
        <v>673</v>
      </c>
      <c r="J84" t="s">
        <v>279</v>
      </c>
    </row>
    <row r="85" spans="1:10" x14ac:dyDescent="0.35">
      <c r="A85" t="s">
        <v>674</v>
      </c>
      <c r="B85" t="s">
        <v>675</v>
      </c>
      <c r="C85" t="s">
        <v>676</v>
      </c>
      <c r="E85" t="s">
        <v>677</v>
      </c>
      <c r="F85" t="s">
        <v>47</v>
      </c>
      <c r="G85" t="s">
        <v>678</v>
      </c>
      <c r="I85" t="s">
        <v>679</v>
      </c>
      <c r="J85" t="s">
        <v>279</v>
      </c>
    </row>
    <row r="86" spans="1:10" x14ac:dyDescent="0.35">
      <c r="A86" t="s">
        <v>680</v>
      </c>
      <c r="B86" t="s">
        <v>681</v>
      </c>
      <c r="C86" t="s">
        <v>682</v>
      </c>
      <c r="D86" t="s">
        <v>683</v>
      </c>
      <c r="E86" t="s">
        <v>684</v>
      </c>
      <c r="F86" t="s">
        <v>47</v>
      </c>
      <c r="G86" t="s">
        <v>685</v>
      </c>
      <c r="H86" t="s">
        <v>686</v>
      </c>
      <c r="I86" t="s">
        <v>111</v>
      </c>
      <c r="J86" t="s">
        <v>279</v>
      </c>
    </row>
    <row r="87" spans="1:10" x14ac:dyDescent="0.35">
      <c r="A87" t="s">
        <v>687</v>
      </c>
      <c r="B87" t="s">
        <v>688</v>
      </c>
      <c r="C87" t="s">
        <v>689</v>
      </c>
      <c r="D87" t="s">
        <v>690</v>
      </c>
      <c r="E87" t="s">
        <v>691</v>
      </c>
      <c r="F87" t="s">
        <v>47</v>
      </c>
      <c r="G87" t="s">
        <v>692</v>
      </c>
      <c r="H87" t="s">
        <v>693</v>
      </c>
      <c r="I87" t="s">
        <v>694</v>
      </c>
      <c r="J87" t="s">
        <v>279</v>
      </c>
    </row>
    <row r="88" spans="1:10" x14ac:dyDescent="0.35">
      <c r="A88" t="s">
        <v>695</v>
      </c>
      <c r="B88" t="s">
        <v>696</v>
      </c>
      <c r="C88" t="s">
        <v>697</v>
      </c>
      <c r="E88" t="s">
        <v>698</v>
      </c>
      <c r="F88" t="s">
        <v>47</v>
      </c>
      <c r="G88" t="s">
        <v>699</v>
      </c>
      <c r="H88" t="s">
        <v>700</v>
      </c>
      <c r="I88" t="s">
        <v>544</v>
      </c>
      <c r="J88" t="s">
        <v>279</v>
      </c>
    </row>
    <row r="89" spans="1:10" x14ac:dyDescent="0.35">
      <c r="A89" t="s">
        <v>701</v>
      </c>
      <c r="B89" t="s">
        <v>702</v>
      </c>
      <c r="C89" t="s">
        <v>703</v>
      </c>
      <c r="E89" t="s">
        <v>704</v>
      </c>
      <c r="F89" t="s">
        <v>47</v>
      </c>
      <c r="G89" t="s">
        <v>705</v>
      </c>
      <c r="H89" t="s">
        <v>706</v>
      </c>
      <c r="I89" t="s">
        <v>707</v>
      </c>
      <c r="J89" t="s">
        <v>279</v>
      </c>
    </row>
    <row r="90" spans="1:10" x14ac:dyDescent="0.35">
      <c r="A90" t="s">
        <v>708</v>
      </c>
      <c r="B90" t="s">
        <v>709</v>
      </c>
      <c r="C90" t="s">
        <v>710</v>
      </c>
      <c r="E90" t="s">
        <v>711</v>
      </c>
      <c r="F90" t="s">
        <v>47</v>
      </c>
      <c r="G90" t="s">
        <v>712</v>
      </c>
      <c r="I90" t="s">
        <v>713</v>
      </c>
      <c r="J90" t="s">
        <v>279</v>
      </c>
    </row>
    <row r="91" spans="1:10" x14ac:dyDescent="0.35">
      <c r="A91" t="s">
        <v>714</v>
      </c>
      <c r="B91" t="s">
        <v>715</v>
      </c>
      <c r="C91" t="s">
        <v>716</v>
      </c>
      <c r="E91" t="s">
        <v>717</v>
      </c>
      <c r="F91" t="s">
        <v>47</v>
      </c>
      <c r="G91" t="s">
        <v>718</v>
      </c>
      <c r="H91" t="s">
        <v>719</v>
      </c>
      <c r="I91" t="s">
        <v>720</v>
      </c>
      <c r="J91" t="s">
        <v>279</v>
      </c>
    </row>
    <row r="92" spans="1:10" x14ac:dyDescent="0.35">
      <c r="A92" t="s">
        <v>721</v>
      </c>
      <c r="B92" t="s">
        <v>722</v>
      </c>
      <c r="C92" t="s">
        <v>723</v>
      </c>
      <c r="D92" t="s">
        <v>724</v>
      </c>
      <c r="E92" t="s">
        <v>725</v>
      </c>
      <c r="F92" t="s">
        <v>47</v>
      </c>
      <c r="G92" t="s">
        <v>726</v>
      </c>
      <c r="H92" t="s">
        <v>727</v>
      </c>
      <c r="I92" t="s">
        <v>728</v>
      </c>
      <c r="J92" t="s">
        <v>279</v>
      </c>
    </row>
    <row r="93" spans="1:10" x14ac:dyDescent="0.35">
      <c r="A93" t="s">
        <v>729</v>
      </c>
      <c r="B93" t="s">
        <v>730</v>
      </c>
      <c r="C93" t="s">
        <v>731</v>
      </c>
      <c r="D93" t="s">
        <v>732</v>
      </c>
      <c r="E93" t="s">
        <v>733</v>
      </c>
      <c r="F93" t="s">
        <v>47</v>
      </c>
      <c r="G93" t="s">
        <v>734</v>
      </c>
      <c r="H93" t="s">
        <v>735</v>
      </c>
      <c r="I93" t="s">
        <v>224</v>
      </c>
      <c r="J93" t="s">
        <v>279</v>
      </c>
    </row>
    <row r="94" spans="1:10" x14ac:dyDescent="0.35">
      <c r="A94" t="s">
        <v>736</v>
      </c>
      <c r="B94" t="s">
        <v>737</v>
      </c>
      <c r="C94" t="s">
        <v>738</v>
      </c>
      <c r="D94" t="s">
        <v>739</v>
      </c>
      <c r="E94" t="s">
        <v>740</v>
      </c>
      <c r="F94" t="s">
        <v>47</v>
      </c>
      <c r="G94" t="s">
        <v>741</v>
      </c>
      <c r="H94" t="s">
        <v>742</v>
      </c>
      <c r="I94" t="s">
        <v>743</v>
      </c>
      <c r="J94" t="s">
        <v>279</v>
      </c>
    </row>
    <row r="95" spans="1:10" x14ac:dyDescent="0.35">
      <c r="A95" t="s">
        <v>744</v>
      </c>
      <c r="B95" t="s">
        <v>745</v>
      </c>
      <c r="C95" t="s">
        <v>746</v>
      </c>
      <c r="D95" t="s">
        <v>90</v>
      </c>
      <c r="E95" t="s">
        <v>747</v>
      </c>
      <c r="F95" t="s">
        <v>47</v>
      </c>
      <c r="G95" t="s">
        <v>748</v>
      </c>
      <c r="H95" t="s">
        <v>749</v>
      </c>
      <c r="I95" t="s">
        <v>750</v>
      </c>
      <c r="J95" t="s">
        <v>279</v>
      </c>
    </row>
    <row r="96" spans="1:10" x14ac:dyDescent="0.35">
      <c r="A96" t="s">
        <v>751</v>
      </c>
      <c r="B96" t="s">
        <v>752</v>
      </c>
      <c r="C96" t="s">
        <v>753</v>
      </c>
      <c r="D96" t="s">
        <v>754</v>
      </c>
      <c r="E96" t="s">
        <v>755</v>
      </c>
      <c r="F96" t="s">
        <v>47</v>
      </c>
      <c r="G96" t="s">
        <v>756</v>
      </c>
      <c r="H96" t="s">
        <v>757</v>
      </c>
      <c r="I96" t="s">
        <v>758</v>
      </c>
      <c r="J96" t="s">
        <v>279</v>
      </c>
    </row>
    <row r="97" spans="1:10" x14ac:dyDescent="0.35">
      <c r="A97" t="s">
        <v>759</v>
      </c>
      <c r="B97" t="s">
        <v>760</v>
      </c>
      <c r="C97" t="s">
        <v>761</v>
      </c>
      <c r="D97" t="s">
        <v>762</v>
      </c>
      <c r="E97" t="s">
        <v>763</v>
      </c>
      <c r="F97" t="s">
        <v>47</v>
      </c>
      <c r="G97" t="s">
        <v>764</v>
      </c>
      <c r="H97" t="s">
        <v>765</v>
      </c>
      <c r="I97" t="s">
        <v>766</v>
      </c>
    </row>
    <row r="98" spans="1:10" x14ac:dyDescent="0.35">
      <c r="A98" t="s">
        <v>767</v>
      </c>
      <c r="B98" t="s">
        <v>768</v>
      </c>
      <c r="C98" t="s">
        <v>769</v>
      </c>
      <c r="D98" t="s">
        <v>770</v>
      </c>
      <c r="E98" t="s">
        <v>771</v>
      </c>
      <c r="F98" t="s">
        <v>47</v>
      </c>
      <c r="G98" t="s">
        <v>772</v>
      </c>
      <c r="H98" t="s">
        <v>773</v>
      </c>
      <c r="I98" t="s">
        <v>774</v>
      </c>
      <c r="J98" t="s">
        <v>279</v>
      </c>
    </row>
    <row r="99" spans="1:10" x14ac:dyDescent="0.35">
      <c r="A99" t="s">
        <v>775</v>
      </c>
      <c r="B99" t="s">
        <v>776</v>
      </c>
      <c r="C99" t="s">
        <v>777</v>
      </c>
      <c r="E99" t="s">
        <v>778</v>
      </c>
      <c r="F99" t="s">
        <v>47</v>
      </c>
      <c r="G99" t="s">
        <v>779</v>
      </c>
      <c r="H99" t="s">
        <v>780</v>
      </c>
      <c r="I99" t="s">
        <v>781</v>
      </c>
      <c r="J99" t="s">
        <v>279</v>
      </c>
    </row>
    <row r="100" spans="1:10" x14ac:dyDescent="0.35">
      <c r="A100" t="s">
        <v>782</v>
      </c>
      <c r="B100" t="s">
        <v>783</v>
      </c>
      <c r="C100" t="s">
        <v>784</v>
      </c>
      <c r="D100" t="s">
        <v>785</v>
      </c>
      <c r="E100" t="s">
        <v>786</v>
      </c>
      <c r="F100" t="s">
        <v>47</v>
      </c>
      <c r="G100" t="s">
        <v>787</v>
      </c>
      <c r="H100" t="s">
        <v>788</v>
      </c>
      <c r="I100" t="s">
        <v>502</v>
      </c>
      <c r="J100" t="s">
        <v>279</v>
      </c>
    </row>
    <row r="101" spans="1:10" x14ac:dyDescent="0.35">
      <c r="A101" t="s">
        <v>789</v>
      </c>
      <c r="B101" t="s">
        <v>790</v>
      </c>
      <c r="C101" t="s">
        <v>791</v>
      </c>
      <c r="D101" t="s">
        <v>340</v>
      </c>
      <c r="E101" t="s">
        <v>792</v>
      </c>
      <c r="F101" t="s">
        <v>47</v>
      </c>
      <c r="G101" t="s">
        <v>793</v>
      </c>
      <c r="I101" t="s">
        <v>794</v>
      </c>
      <c r="J101" t="s">
        <v>279</v>
      </c>
    </row>
    <row r="102" spans="1:10" x14ac:dyDescent="0.35">
      <c r="A102" t="s">
        <v>795</v>
      </c>
      <c r="B102" t="s">
        <v>796</v>
      </c>
      <c r="C102" t="s">
        <v>797</v>
      </c>
      <c r="D102" t="s">
        <v>798</v>
      </c>
      <c r="E102" t="s">
        <v>799</v>
      </c>
      <c r="F102" t="s">
        <v>47</v>
      </c>
      <c r="G102" t="s">
        <v>800</v>
      </c>
      <c r="H102" t="s">
        <v>801</v>
      </c>
      <c r="I102" t="s">
        <v>224</v>
      </c>
      <c r="J102" t="s">
        <v>279</v>
      </c>
    </row>
    <row r="103" spans="1:10" x14ac:dyDescent="0.35">
      <c r="A103" t="s">
        <v>802</v>
      </c>
      <c r="B103" t="s">
        <v>803</v>
      </c>
      <c r="C103" t="s">
        <v>804</v>
      </c>
      <c r="E103" t="s">
        <v>805</v>
      </c>
      <c r="F103" t="s">
        <v>47</v>
      </c>
      <c r="G103" t="s">
        <v>806</v>
      </c>
      <c r="H103" t="s">
        <v>807</v>
      </c>
      <c r="I103" t="s">
        <v>808</v>
      </c>
      <c r="J103" t="s">
        <v>279</v>
      </c>
    </row>
    <row r="104" spans="1:10" x14ac:dyDescent="0.35">
      <c r="A104" t="s">
        <v>809</v>
      </c>
      <c r="B104" t="s">
        <v>810</v>
      </c>
      <c r="C104" t="s">
        <v>811</v>
      </c>
      <c r="D104" t="s">
        <v>123</v>
      </c>
      <c r="E104" t="s">
        <v>812</v>
      </c>
      <c r="F104" t="s">
        <v>47</v>
      </c>
      <c r="G104" t="s">
        <v>813</v>
      </c>
      <c r="H104" t="s">
        <v>814</v>
      </c>
      <c r="I104" t="s">
        <v>502</v>
      </c>
      <c r="J104" t="s">
        <v>279</v>
      </c>
    </row>
    <row r="105" spans="1:10" x14ac:dyDescent="0.35">
      <c r="A105" t="s">
        <v>815</v>
      </c>
      <c r="B105" t="s">
        <v>816</v>
      </c>
      <c r="C105" t="s">
        <v>817</v>
      </c>
      <c r="E105" t="s">
        <v>818</v>
      </c>
      <c r="F105" t="s">
        <v>47</v>
      </c>
      <c r="G105" t="s">
        <v>819</v>
      </c>
      <c r="H105" t="s">
        <v>820</v>
      </c>
      <c r="I105" t="s">
        <v>821</v>
      </c>
      <c r="J105" t="s">
        <v>279</v>
      </c>
    </row>
    <row r="106" spans="1:10" x14ac:dyDescent="0.35">
      <c r="A106" t="s">
        <v>822</v>
      </c>
      <c r="B106" t="s">
        <v>823</v>
      </c>
      <c r="C106" t="s">
        <v>824</v>
      </c>
      <c r="D106" t="s">
        <v>825</v>
      </c>
      <c r="E106" t="s">
        <v>826</v>
      </c>
      <c r="F106" t="s">
        <v>47</v>
      </c>
      <c r="G106" t="s">
        <v>827</v>
      </c>
      <c r="H106" t="s">
        <v>828</v>
      </c>
      <c r="I106" t="s">
        <v>829</v>
      </c>
      <c r="J106" t="s">
        <v>279</v>
      </c>
    </row>
    <row r="107" spans="1:10" x14ac:dyDescent="0.35">
      <c r="A107" t="s">
        <v>830</v>
      </c>
      <c r="B107" t="s">
        <v>831</v>
      </c>
      <c r="C107" t="s">
        <v>832</v>
      </c>
      <c r="D107" t="s">
        <v>228</v>
      </c>
      <c r="E107" t="s">
        <v>833</v>
      </c>
      <c r="F107" t="s">
        <v>47</v>
      </c>
      <c r="G107" t="s">
        <v>834</v>
      </c>
      <c r="H107" t="s">
        <v>835</v>
      </c>
      <c r="I107" t="s">
        <v>836</v>
      </c>
      <c r="J107" t="s">
        <v>279</v>
      </c>
    </row>
    <row r="108" spans="1:10" x14ac:dyDescent="0.35">
      <c r="A108" t="s">
        <v>837</v>
      </c>
      <c r="B108" t="s">
        <v>838</v>
      </c>
      <c r="C108" t="s">
        <v>839</v>
      </c>
      <c r="D108" t="s">
        <v>840</v>
      </c>
      <c r="E108" t="s">
        <v>841</v>
      </c>
      <c r="F108" t="s">
        <v>47</v>
      </c>
      <c r="G108" t="s">
        <v>842</v>
      </c>
      <c r="I108" t="s">
        <v>843</v>
      </c>
      <c r="J108" t="s">
        <v>279</v>
      </c>
    </row>
    <row r="109" spans="1:10" x14ac:dyDescent="0.35">
      <c r="A109" t="s">
        <v>844</v>
      </c>
      <c r="B109" t="s">
        <v>845</v>
      </c>
      <c r="C109" t="s">
        <v>846</v>
      </c>
      <c r="E109" t="s">
        <v>847</v>
      </c>
      <c r="F109" t="s">
        <v>47</v>
      </c>
      <c r="G109" t="s">
        <v>848</v>
      </c>
      <c r="I109" t="s">
        <v>849</v>
      </c>
      <c r="J109" t="s">
        <v>279</v>
      </c>
    </row>
    <row r="110" spans="1:10" x14ac:dyDescent="0.35">
      <c r="A110" t="s">
        <v>850</v>
      </c>
      <c r="B110" t="s">
        <v>851</v>
      </c>
      <c r="C110" t="s">
        <v>852</v>
      </c>
      <c r="E110" t="s">
        <v>853</v>
      </c>
      <c r="F110" t="s">
        <v>47</v>
      </c>
      <c r="G110" t="s">
        <v>854</v>
      </c>
      <c r="H110" t="s">
        <v>855</v>
      </c>
      <c r="I110" t="s">
        <v>856</v>
      </c>
      <c r="J110" t="s">
        <v>279</v>
      </c>
    </row>
    <row r="111" spans="1:10" x14ac:dyDescent="0.35">
      <c r="A111" t="s">
        <v>857</v>
      </c>
      <c r="B111" t="s">
        <v>858</v>
      </c>
      <c r="C111" t="s">
        <v>859</v>
      </c>
      <c r="E111" t="s">
        <v>860</v>
      </c>
      <c r="F111" t="s">
        <v>47</v>
      </c>
      <c r="G111" t="s">
        <v>861</v>
      </c>
      <c r="H111" t="s">
        <v>862</v>
      </c>
      <c r="I111" t="s">
        <v>863</v>
      </c>
      <c r="J111" t="s">
        <v>279</v>
      </c>
    </row>
    <row r="112" spans="1:10" x14ac:dyDescent="0.35">
      <c r="A112" t="s">
        <v>864</v>
      </c>
      <c r="B112" t="s">
        <v>865</v>
      </c>
      <c r="C112" t="s">
        <v>866</v>
      </c>
      <c r="D112" t="s">
        <v>867</v>
      </c>
      <c r="E112" t="s">
        <v>868</v>
      </c>
      <c r="F112" t="s">
        <v>47</v>
      </c>
      <c r="G112" t="s">
        <v>869</v>
      </c>
      <c r="H112" t="s">
        <v>870</v>
      </c>
      <c r="I112" t="s">
        <v>871</v>
      </c>
      <c r="J112" t="s">
        <v>279</v>
      </c>
    </row>
    <row r="113" spans="1:10" x14ac:dyDescent="0.35">
      <c r="A113" t="s">
        <v>872</v>
      </c>
      <c r="B113" t="s">
        <v>873</v>
      </c>
      <c r="C113" t="s">
        <v>874</v>
      </c>
      <c r="D113" t="s">
        <v>875</v>
      </c>
      <c r="E113" t="s">
        <v>876</v>
      </c>
      <c r="F113" t="s">
        <v>47</v>
      </c>
      <c r="G113" t="s">
        <v>877</v>
      </c>
      <c r="H113" t="s">
        <v>878</v>
      </c>
      <c r="I113" t="s">
        <v>224</v>
      </c>
      <c r="J113" t="s">
        <v>279</v>
      </c>
    </row>
    <row r="114" spans="1:10" x14ac:dyDescent="0.35">
      <c r="A114" t="s">
        <v>879</v>
      </c>
      <c r="B114" t="s">
        <v>880</v>
      </c>
      <c r="C114" t="s">
        <v>881</v>
      </c>
      <c r="D114" t="s">
        <v>882</v>
      </c>
      <c r="E114" t="s">
        <v>883</v>
      </c>
      <c r="F114" t="s">
        <v>47</v>
      </c>
      <c r="G114" t="s">
        <v>884</v>
      </c>
      <c r="H114" t="s">
        <v>885</v>
      </c>
      <c r="I114" t="s">
        <v>351</v>
      </c>
      <c r="J114" t="s">
        <v>279</v>
      </c>
    </row>
    <row r="115" spans="1:10" x14ac:dyDescent="0.35">
      <c r="A115" t="s">
        <v>886</v>
      </c>
      <c r="B115" t="s">
        <v>887</v>
      </c>
      <c r="C115" t="s">
        <v>888</v>
      </c>
      <c r="E115" t="s">
        <v>889</v>
      </c>
      <c r="F115" t="s">
        <v>47</v>
      </c>
      <c r="G115" t="s">
        <v>890</v>
      </c>
      <c r="H115" t="s">
        <v>891</v>
      </c>
      <c r="I115" t="s">
        <v>892</v>
      </c>
      <c r="J115" t="s">
        <v>279</v>
      </c>
    </row>
    <row r="116" spans="1:10" x14ac:dyDescent="0.35">
      <c r="A116" t="s">
        <v>893</v>
      </c>
      <c r="B116" t="s">
        <v>894</v>
      </c>
      <c r="C116" t="s">
        <v>895</v>
      </c>
      <c r="D116" t="s">
        <v>896</v>
      </c>
      <c r="E116" t="s">
        <v>897</v>
      </c>
      <c r="F116" t="s">
        <v>47</v>
      </c>
      <c r="G116" t="s">
        <v>898</v>
      </c>
      <c r="H116" t="s">
        <v>899</v>
      </c>
      <c r="I116" t="s">
        <v>900</v>
      </c>
      <c r="J116" t="s">
        <v>279</v>
      </c>
    </row>
    <row r="117" spans="1:10" x14ac:dyDescent="0.35">
      <c r="A117" t="s">
        <v>901</v>
      </c>
      <c r="B117" t="s">
        <v>902</v>
      </c>
      <c r="C117" t="s">
        <v>903</v>
      </c>
      <c r="D117" t="s">
        <v>904</v>
      </c>
      <c r="E117" t="s">
        <v>905</v>
      </c>
      <c r="F117" t="s">
        <v>47</v>
      </c>
      <c r="G117" t="s">
        <v>906</v>
      </c>
      <c r="H117" t="s">
        <v>907</v>
      </c>
      <c r="I117" t="s">
        <v>908</v>
      </c>
      <c r="J117" t="s">
        <v>279</v>
      </c>
    </row>
    <row r="118" spans="1:10" x14ac:dyDescent="0.35">
      <c r="A118" t="s">
        <v>909</v>
      </c>
      <c r="B118" t="s">
        <v>910</v>
      </c>
      <c r="C118" t="s">
        <v>911</v>
      </c>
      <c r="E118" t="s">
        <v>912</v>
      </c>
      <c r="F118" t="s">
        <v>47</v>
      </c>
      <c r="G118" t="s">
        <v>913</v>
      </c>
      <c r="H118" t="s">
        <v>914</v>
      </c>
      <c r="I118" t="s">
        <v>111</v>
      </c>
      <c r="J118" t="s">
        <v>279</v>
      </c>
    </row>
    <row r="119" spans="1:10" x14ac:dyDescent="0.35">
      <c r="A119" t="s">
        <v>915</v>
      </c>
      <c r="B119" t="s">
        <v>916</v>
      </c>
      <c r="C119" t="s">
        <v>917</v>
      </c>
      <c r="D119" t="s">
        <v>340</v>
      </c>
      <c r="E119" t="s">
        <v>918</v>
      </c>
      <c r="F119" t="s">
        <v>47</v>
      </c>
      <c r="G119" t="s">
        <v>919</v>
      </c>
      <c r="I119" t="s">
        <v>143</v>
      </c>
      <c r="J119" t="s">
        <v>279</v>
      </c>
    </row>
    <row r="120" spans="1:10" x14ac:dyDescent="0.35">
      <c r="A120" t="s">
        <v>920</v>
      </c>
      <c r="B120" t="s">
        <v>921</v>
      </c>
      <c r="C120" t="s">
        <v>922</v>
      </c>
      <c r="E120" t="s">
        <v>923</v>
      </c>
      <c r="F120" t="s">
        <v>47</v>
      </c>
      <c r="G120" t="s">
        <v>924</v>
      </c>
      <c r="H120" t="s">
        <v>925</v>
      </c>
      <c r="I120" t="s">
        <v>926</v>
      </c>
      <c r="J120" t="s">
        <v>279</v>
      </c>
    </row>
    <row r="121" spans="1:10" x14ac:dyDescent="0.35">
      <c r="A121" t="s">
        <v>927</v>
      </c>
      <c r="B121" t="s">
        <v>928</v>
      </c>
      <c r="C121" t="s">
        <v>929</v>
      </c>
      <c r="D121" t="s">
        <v>930</v>
      </c>
      <c r="E121" t="s">
        <v>931</v>
      </c>
      <c r="F121" t="s">
        <v>47</v>
      </c>
      <c r="G121" t="s">
        <v>932</v>
      </c>
      <c r="I121" t="s">
        <v>628</v>
      </c>
      <c r="J121" t="s">
        <v>279</v>
      </c>
    </row>
    <row r="122" spans="1:10" x14ac:dyDescent="0.35">
      <c r="A122" t="s">
        <v>933</v>
      </c>
      <c r="B122" t="s">
        <v>934</v>
      </c>
      <c r="C122" t="s">
        <v>935</v>
      </c>
      <c r="E122" t="s">
        <v>936</v>
      </c>
      <c r="F122" t="s">
        <v>47</v>
      </c>
      <c r="G122" t="s">
        <v>937</v>
      </c>
      <c r="H122" t="s">
        <v>938</v>
      </c>
      <c r="I122" t="s">
        <v>766</v>
      </c>
      <c r="J122" t="s">
        <v>279</v>
      </c>
    </row>
    <row r="123" spans="1:10" x14ac:dyDescent="0.35">
      <c r="A123" t="s">
        <v>1317</v>
      </c>
      <c r="B123" t="s">
        <v>939</v>
      </c>
      <c r="C123" t="s">
        <v>1318</v>
      </c>
      <c r="D123" t="s">
        <v>340</v>
      </c>
      <c r="E123" t="s">
        <v>940</v>
      </c>
      <c r="F123" t="s">
        <v>47</v>
      </c>
      <c r="G123" t="s">
        <v>941</v>
      </c>
      <c r="H123" t="s">
        <v>942</v>
      </c>
      <c r="I123" t="s">
        <v>943</v>
      </c>
      <c r="J123" t="s">
        <v>279</v>
      </c>
    </row>
    <row r="124" spans="1:10" x14ac:dyDescent="0.35">
      <c r="A124" t="s">
        <v>944</v>
      </c>
      <c r="B124" t="s">
        <v>945</v>
      </c>
      <c r="C124" t="s">
        <v>946</v>
      </c>
      <c r="D124" t="s">
        <v>947</v>
      </c>
      <c r="E124" t="s">
        <v>948</v>
      </c>
      <c r="F124" t="s">
        <v>47</v>
      </c>
      <c r="G124" t="s">
        <v>949</v>
      </c>
      <c r="H124" t="s">
        <v>950</v>
      </c>
      <c r="I124" t="s">
        <v>127</v>
      </c>
      <c r="J124" t="s">
        <v>279</v>
      </c>
    </row>
    <row r="125" spans="1:10" x14ac:dyDescent="0.35">
      <c r="A125" t="s">
        <v>951</v>
      </c>
      <c r="B125" t="s">
        <v>952</v>
      </c>
      <c r="C125" t="s">
        <v>953</v>
      </c>
      <c r="D125" t="s">
        <v>954</v>
      </c>
      <c r="E125" t="s">
        <v>955</v>
      </c>
      <c r="F125" t="s">
        <v>47</v>
      </c>
      <c r="G125" t="s">
        <v>956</v>
      </c>
      <c r="H125" t="s">
        <v>957</v>
      </c>
      <c r="I125" t="s">
        <v>958</v>
      </c>
      <c r="J125" t="s">
        <v>279</v>
      </c>
    </row>
    <row r="126" spans="1:10" x14ac:dyDescent="0.35">
      <c r="A126" t="s">
        <v>959</v>
      </c>
      <c r="B126" t="s">
        <v>960</v>
      </c>
      <c r="C126" t="s">
        <v>961</v>
      </c>
      <c r="E126" t="s">
        <v>962</v>
      </c>
      <c r="F126" t="s">
        <v>47</v>
      </c>
      <c r="G126" t="s">
        <v>963</v>
      </c>
      <c r="H126" t="s">
        <v>964</v>
      </c>
      <c r="I126" t="s">
        <v>965</v>
      </c>
      <c r="J126" t="s">
        <v>279</v>
      </c>
    </row>
    <row r="127" spans="1:10" x14ac:dyDescent="0.35">
      <c r="A127" t="s">
        <v>966</v>
      </c>
      <c r="B127" t="s">
        <v>967</v>
      </c>
      <c r="C127" t="s">
        <v>968</v>
      </c>
      <c r="E127" t="s">
        <v>969</v>
      </c>
      <c r="F127" t="s">
        <v>47</v>
      </c>
      <c r="G127" t="s">
        <v>970</v>
      </c>
      <c r="I127" t="s">
        <v>971</v>
      </c>
      <c r="J127" t="s">
        <v>279</v>
      </c>
    </row>
    <row r="128" spans="1:10" x14ac:dyDescent="0.35">
      <c r="A128" t="s">
        <v>972</v>
      </c>
      <c r="B128" t="s">
        <v>973</v>
      </c>
      <c r="C128" t="s">
        <v>974</v>
      </c>
      <c r="D128" t="s">
        <v>975</v>
      </c>
      <c r="E128" t="s">
        <v>976</v>
      </c>
      <c r="F128" t="s">
        <v>47</v>
      </c>
      <c r="G128" t="s">
        <v>977</v>
      </c>
      <c r="H128" t="s">
        <v>978</v>
      </c>
      <c r="I128" t="s">
        <v>365</v>
      </c>
      <c r="J128" t="s">
        <v>279</v>
      </c>
    </row>
    <row r="129" spans="1:10" x14ac:dyDescent="0.35">
      <c r="A129" t="s">
        <v>979</v>
      </c>
      <c r="B129" t="s">
        <v>980</v>
      </c>
      <c r="C129" t="s">
        <v>981</v>
      </c>
      <c r="E129" t="s">
        <v>982</v>
      </c>
      <c r="F129" t="s">
        <v>47</v>
      </c>
      <c r="G129" t="s">
        <v>983</v>
      </c>
      <c r="H129" t="s">
        <v>984</v>
      </c>
      <c r="I129" t="s">
        <v>985</v>
      </c>
      <c r="J129" t="s">
        <v>279</v>
      </c>
    </row>
    <row r="130" spans="1:10" x14ac:dyDescent="0.35">
      <c r="A130" t="s">
        <v>986</v>
      </c>
      <c r="B130" t="s">
        <v>987</v>
      </c>
      <c r="C130" t="s">
        <v>988</v>
      </c>
      <c r="E130" t="s">
        <v>989</v>
      </c>
      <c r="F130" t="s">
        <v>47</v>
      </c>
      <c r="G130" t="s">
        <v>990</v>
      </c>
      <c r="H130" t="s">
        <v>991</v>
      </c>
      <c r="I130" t="s">
        <v>992</v>
      </c>
      <c r="J130" t="s">
        <v>279</v>
      </c>
    </row>
    <row r="131" spans="1:10" x14ac:dyDescent="0.35">
      <c r="A131" t="s">
        <v>993</v>
      </c>
      <c r="B131" t="s">
        <v>994</v>
      </c>
      <c r="C131" t="s">
        <v>995</v>
      </c>
      <c r="E131" t="s">
        <v>996</v>
      </c>
      <c r="F131" t="s">
        <v>47</v>
      </c>
      <c r="G131" t="s">
        <v>997</v>
      </c>
      <c r="H131" t="s">
        <v>998</v>
      </c>
      <c r="I131" t="s">
        <v>808</v>
      </c>
      <c r="J131" t="s">
        <v>279</v>
      </c>
    </row>
    <row r="132" spans="1:10" x14ac:dyDescent="0.35">
      <c r="A132" t="s">
        <v>999</v>
      </c>
      <c r="B132" t="s">
        <v>1000</v>
      </c>
      <c r="C132" t="s">
        <v>1001</v>
      </c>
      <c r="D132" t="s">
        <v>1002</v>
      </c>
      <c r="E132" t="s">
        <v>1003</v>
      </c>
      <c r="F132" t="s">
        <v>47</v>
      </c>
      <c r="G132" t="s">
        <v>1004</v>
      </c>
      <c r="I132" t="s">
        <v>1005</v>
      </c>
      <c r="J132" t="s">
        <v>279</v>
      </c>
    </row>
    <row r="133" spans="1:10" x14ac:dyDescent="0.35">
      <c r="A133" t="s">
        <v>1006</v>
      </c>
      <c r="B133" t="s">
        <v>1007</v>
      </c>
      <c r="C133" t="s">
        <v>1008</v>
      </c>
      <c r="E133" t="s">
        <v>1009</v>
      </c>
      <c r="F133" t="s">
        <v>47</v>
      </c>
      <c r="G133" t="s">
        <v>1010</v>
      </c>
      <c r="I133" t="s">
        <v>1011</v>
      </c>
      <c r="J133" t="s">
        <v>279</v>
      </c>
    </row>
    <row r="134" spans="1:10" x14ac:dyDescent="0.35">
      <c r="A134" t="s">
        <v>1012</v>
      </c>
      <c r="B134" t="s">
        <v>1013</v>
      </c>
      <c r="C134" t="s">
        <v>1014</v>
      </c>
      <c r="D134" t="s">
        <v>1015</v>
      </c>
      <c r="E134" t="s">
        <v>1016</v>
      </c>
      <c r="F134" t="s">
        <v>47</v>
      </c>
      <c r="G134" t="s">
        <v>1017</v>
      </c>
      <c r="H134" t="s">
        <v>1018</v>
      </c>
      <c r="I134" t="s">
        <v>1019</v>
      </c>
      <c r="J134" t="s">
        <v>279</v>
      </c>
    </row>
    <row r="135" spans="1:10" x14ac:dyDescent="0.35">
      <c r="A135" t="s">
        <v>1020</v>
      </c>
      <c r="B135" t="s">
        <v>1021</v>
      </c>
      <c r="C135" t="s">
        <v>1022</v>
      </c>
      <c r="E135" t="s">
        <v>1023</v>
      </c>
      <c r="F135" t="s">
        <v>47</v>
      </c>
      <c r="G135" t="s">
        <v>1024</v>
      </c>
      <c r="H135" t="s">
        <v>1025</v>
      </c>
      <c r="I135" t="s">
        <v>224</v>
      </c>
      <c r="J135" t="s">
        <v>279</v>
      </c>
    </row>
    <row r="136" spans="1:10" x14ac:dyDescent="0.35">
      <c r="A136" t="s">
        <v>1026</v>
      </c>
      <c r="B136" t="s">
        <v>1027</v>
      </c>
      <c r="C136" t="s">
        <v>1028</v>
      </c>
      <c r="D136" t="s">
        <v>1029</v>
      </c>
      <c r="E136" t="s">
        <v>1030</v>
      </c>
      <c r="F136" t="s">
        <v>47</v>
      </c>
      <c r="G136" t="s">
        <v>1031</v>
      </c>
      <c r="H136" t="s">
        <v>1032</v>
      </c>
      <c r="I136" t="s">
        <v>224</v>
      </c>
      <c r="J136" t="s">
        <v>279</v>
      </c>
    </row>
    <row r="137" spans="1:10" x14ac:dyDescent="0.35">
      <c r="A137" t="s">
        <v>1033</v>
      </c>
      <c r="B137" t="s">
        <v>1034</v>
      </c>
      <c r="C137" t="s">
        <v>1314</v>
      </c>
      <c r="D137" t="s">
        <v>1313</v>
      </c>
      <c r="E137" t="s">
        <v>1035</v>
      </c>
      <c r="F137" t="s">
        <v>47</v>
      </c>
      <c r="G137" t="s">
        <v>1036</v>
      </c>
      <c r="H137" t="s">
        <v>1037</v>
      </c>
      <c r="I137" t="s">
        <v>1038</v>
      </c>
      <c r="J137" t="s">
        <v>279</v>
      </c>
    </row>
    <row r="138" spans="1:10" x14ac:dyDescent="0.35">
      <c r="A138" t="s">
        <v>1039</v>
      </c>
      <c r="B138" t="s">
        <v>1040</v>
      </c>
      <c r="C138" t="s">
        <v>1041</v>
      </c>
      <c r="D138" t="s">
        <v>1042</v>
      </c>
      <c r="E138" t="s">
        <v>1043</v>
      </c>
      <c r="F138" t="s">
        <v>47</v>
      </c>
      <c r="G138" t="s">
        <v>1044</v>
      </c>
      <c r="H138" t="s">
        <v>1045</v>
      </c>
      <c r="I138" t="s">
        <v>247</v>
      </c>
      <c r="J138" t="s">
        <v>279</v>
      </c>
    </row>
    <row r="139" spans="1:10" x14ac:dyDescent="0.35">
      <c r="A139" t="s">
        <v>1046</v>
      </c>
      <c r="B139" t="s">
        <v>1047</v>
      </c>
      <c r="C139" t="s">
        <v>1048</v>
      </c>
      <c r="D139" t="s">
        <v>1049</v>
      </c>
      <c r="E139" t="s">
        <v>1050</v>
      </c>
      <c r="F139" t="s">
        <v>47</v>
      </c>
      <c r="G139" t="s">
        <v>1051</v>
      </c>
      <c r="H139" t="s">
        <v>1052</v>
      </c>
      <c r="I139" t="s">
        <v>1053</v>
      </c>
      <c r="J139" t="s">
        <v>279</v>
      </c>
    </row>
    <row r="140" spans="1:10" x14ac:dyDescent="0.35">
      <c r="A140" t="s">
        <v>1054</v>
      </c>
      <c r="B140" t="s">
        <v>1055</v>
      </c>
      <c r="C140" t="s">
        <v>1056</v>
      </c>
      <c r="D140" t="s">
        <v>1057</v>
      </c>
      <c r="E140" t="s">
        <v>1058</v>
      </c>
      <c r="F140" t="s">
        <v>47</v>
      </c>
      <c r="G140" t="s">
        <v>1059</v>
      </c>
      <c r="H140" t="s">
        <v>1060</v>
      </c>
      <c r="I140" t="s">
        <v>1061</v>
      </c>
      <c r="J140" t="s">
        <v>279</v>
      </c>
    </row>
    <row r="141" spans="1:10" x14ac:dyDescent="0.35">
      <c r="A141" t="s">
        <v>1062</v>
      </c>
      <c r="B141" t="s">
        <v>1063</v>
      </c>
      <c r="C141" t="s">
        <v>1064</v>
      </c>
      <c r="E141" t="s">
        <v>1065</v>
      </c>
      <c r="F141" t="s">
        <v>47</v>
      </c>
      <c r="G141" t="s">
        <v>1066</v>
      </c>
      <c r="I141" t="s">
        <v>1067</v>
      </c>
      <c r="J141" t="s">
        <v>279</v>
      </c>
    </row>
    <row r="142" spans="1:10" x14ac:dyDescent="0.35">
      <c r="A142" t="s">
        <v>1068</v>
      </c>
      <c r="B142" t="s">
        <v>1069</v>
      </c>
      <c r="C142" t="s">
        <v>1070</v>
      </c>
      <c r="D142" t="s">
        <v>1071</v>
      </c>
      <c r="E142" t="s">
        <v>1072</v>
      </c>
      <c r="F142" t="s">
        <v>47</v>
      </c>
      <c r="G142" t="s">
        <v>1073</v>
      </c>
      <c r="I142" t="s">
        <v>1074</v>
      </c>
      <c r="J142" t="s">
        <v>279</v>
      </c>
    </row>
    <row r="143" spans="1:10" x14ac:dyDescent="0.35">
      <c r="A143" t="s">
        <v>1075</v>
      </c>
      <c r="B143" t="s">
        <v>1076</v>
      </c>
      <c r="C143" t="s">
        <v>1077</v>
      </c>
      <c r="E143" t="s">
        <v>1078</v>
      </c>
      <c r="F143" t="s">
        <v>47</v>
      </c>
      <c r="H143" t="s">
        <v>1079</v>
      </c>
      <c r="I143" t="s">
        <v>1080</v>
      </c>
      <c r="J143" t="s">
        <v>279</v>
      </c>
    </row>
    <row r="144" spans="1:10" x14ac:dyDescent="0.35">
      <c r="A144" t="s">
        <v>1081</v>
      </c>
      <c r="B144" t="s">
        <v>1082</v>
      </c>
      <c r="C144" t="s">
        <v>1083</v>
      </c>
      <c r="D144" t="s">
        <v>1084</v>
      </c>
      <c r="E144" t="s">
        <v>1085</v>
      </c>
      <c r="F144" t="s">
        <v>47</v>
      </c>
      <c r="G144" t="s">
        <v>1086</v>
      </c>
      <c r="H144" t="s">
        <v>1087</v>
      </c>
      <c r="I144" t="s">
        <v>587</v>
      </c>
      <c r="J144" t="s">
        <v>279</v>
      </c>
    </row>
    <row r="145" spans="1:10" x14ac:dyDescent="0.35">
      <c r="A145" t="s">
        <v>1088</v>
      </c>
      <c r="B145" t="s">
        <v>1089</v>
      </c>
      <c r="C145" t="s">
        <v>1090</v>
      </c>
      <c r="D145" t="s">
        <v>1091</v>
      </c>
      <c r="E145" t="s">
        <v>1092</v>
      </c>
      <c r="F145" t="s">
        <v>47</v>
      </c>
      <c r="G145" t="s">
        <v>1093</v>
      </c>
      <c r="H145" t="s">
        <v>1094</v>
      </c>
      <c r="I145" t="s">
        <v>1095</v>
      </c>
      <c r="J145" t="s">
        <v>279</v>
      </c>
    </row>
    <row r="146" spans="1:10" x14ac:dyDescent="0.35">
      <c r="A146" t="s">
        <v>1096</v>
      </c>
      <c r="B146" t="s">
        <v>1097</v>
      </c>
      <c r="C146" t="s">
        <v>1098</v>
      </c>
      <c r="E146" t="s">
        <v>1099</v>
      </c>
      <c r="F146" t="s">
        <v>47</v>
      </c>
      <c r="G146" t="s">
        <v>1100</v>
      </c>
      <c r="I146" t="s">
        <v>1101</v>
      </c>
      <c r="J146" t="s">
        <v>279</v>
      </c>
    </row>
    <row r="147" spans="1:10" x14ac:dyDescent="0.35">
      <c r="A147" t="s">
        <v>1102</v>
      </c>
      <c r="B147" t="s">
        <v>1103</v>
      </c>
      <c r="C147" t="s">
        <v>1104</v>
      </c>
      <c r="E147" t="s">
        <v>1105</v>
      </c>
      <c r="F147" t="s">
        <v>47</v>
      </c>
      <c r="G147" t="s">
        <v>1106</v>
      </c>
      <c r="H147" t="s">
        <v>1107</v>
      </c>
      <c r="I147" t="s">
        <v>1108</v>
      </c>
      <c r="J147" t="s">
        <v>279</v>
      </c>
    </row>
    <row r="148" spans="1:10" x14ac:dyDescent="0.35">
      <c r="A148" t="s">
        <v>1109</v>
      </c>
      <c r="B148" t="s">
        <v>1110</v>
      </c>
      <c r="C148" t="s">
        <v>1111</v>
      </c>
      <c r="E148" t="s">
        <v>1112</v>
      </c>
      <c r="F148" t="s">
        <v>47</v>
      </c>
      <c r="G148" t="s">
        <v>1113</v>
      </c>
      <c r="H148" t="s">
        <v>1114</v>
      </c>
      <c r="I148" t="s">
        <v>965</v>
      </c>
      <c r="J148" t="s">
        <v>279</v>
      </c>
    </row>
    <row r="149" spans="1:10" x14ac:dyDescent="0.35">
      <c r="A149" t="s">
        <v>1115</v>
      </c>
      <c r="B149" t="s">
        <v>1116</v>
      </c>
      <c r="C149" t="s">
        <v>1117</v>
      </c>
      <c r="D149" t="s">
        <v>1118</v>
      </c>
      <c r="E149" t="s">
        <v>1119</v>
      </c>
      <c r="F149" t="s">
        <v>47</v>
      </c>
      <c r="G149" t="s">
        <v>1120</v>
      </c>
      <c r="H149" t="s">
        <v>1121</v>
      </c>
      <c r="I149" t="s">
        <v>1122</v>
      </c>
      <c r="J149" t="s">
        <v>279</v>
      </c>
    </row>
    <row r="150" spans="1:10" x14ac:dyDescent="0.35">
      <c r="A150" t="s">
        <v>1123</v>
      </c>
      <c r="B150" t="s">
        <v>1124</v>
      </c>
      <c r="C150" t="s">
        <v>1125</v>
      </c>
      <c r="E150" t="s">
        <v>1126</v>
      </c>
      <c r="F150" t="s">
        <v>47</v>
      </c>
      <c r="G150" t="s">
        <v>1127</v>
      </c>
      <c r="H150" t="s">
        <v>1128</v>
      </c>
      <c r="I150" t="s">
        <v>224</v>
      </c>
      <c r="J150" t="s">
        <v>279</v>
      </c>
    </row>
    <row r="151" spans="1:10" x14ac:dyDescent="0.35">
      <c r="A151" t="s">
        <v>1129</v>
      </c>
      <c r="B151" t="s">
        <v>1130</v>
      </c>
      <c r="C151" t="s">
        <v>1131</v>
      </c>
      <c r="D151" t="s">
        <v>340</v>
      </c>
      <c r="E151" t="s">
        <v>1132</v>
      </c>
      <c r="F151" t="s">
        <v>47</v>
      </c>
      <c r="G151" t="s">
        <v>1133</v>
      </c>
      <c r="I151" t="s">
        <v>1134</v>
      </c>
      <c r="J151" t="s">
        <v>279</v>
      </c>
    </row>
    <row r="152" spans="1:10" x14ac:dyDescent="0.35">
      <c r="A152" t="s">
        <v>1135</v>
      </c>
      <c r="B152" t="s">
        <v>1136</v>
      </c>
      <c r="C152" t="s">
        <v>1137</v>
      </c>
      <c r="D152" t="s">
        <v>1138</v>
      </c>
      <c r="E152" t="s">
        <v>1139</v>
      </c>
      <c r="F152" t="s">
        <v>47</v>
      </c>
      <c r="G152" t="s">
        <v>1140</v>
      </c>
      <c r="H152" t="s">
        <v>1141</v>
      </c>
      <c r="I152" t="s">
        <v>502</v>
      </c>
      <c r="J152" t="s">
        <v>279</v>
      </c>
    </row>
    <row r="153" spans="1:10" x14ac:dyDescent="0.35">
      <c r="A153" t="s">
        <v>1142</v>
      </c>
      <c r="B153" t="s">
        <v>1143</v>
      </c>
      <c r="C153" t="s">
        <v>1144</v>
      </c>
      <c r="D153" t="s">
        <v>1145</v>
      </c>
      <c r="E153" t="s">
        <v>1146</v>
      </c>
      <c r="F153" t="s">
        <v>47</v>
      </c>
      <c r="G153" t="s">
        <v>1147</v>
      </c>
      <c r="H153" t="s">
        <v>1148</v>
      </c>
      <c r="I153" t="s">
        <v>1149</v>
      </c>
      <c r="J153" t="s">
        <v>279</v>
      </c>
    </row>
    <row r="154" spans="1:10" x14ac:dyDescent="0.35">
      <c r="A154" t="s">
        <v>1150</v>
      </c>
      <c r="B154" t="s">
        <v>1151</v>
      </c>
      <c r="C154" t="s">
        <v>1152</v>
      </c>
      <c r="D154" t="s">
        <v>1153</v>
      </c>
      <c r="E154" t="s">
        <v>1154</v>
      </c>
      <c r="F154" t="s">
        <v>47</v>
      </c>
      <c r="G154" t="s">
        <v>1155</v>
      </c>
      <c r="H154" t="s">
        <v>1156</v>
      </c>
      <c r="I154" t="s">
        <v>1157</v>
      </c>
      <c r="J154" t="s">
        <v>279</v>
      </c>
    </row>
    <row r="155" spans="1:10" x14ac:dyDescent="0.35">
      <c r="A155" t="s">
        <v>1158</v>
      </c>
      <c r="B155" t="s">
        <v>1159</v>
      </c>
      <c r="C155" t="s">
        <v>1160</v>
      </c>
      <c r="D155" t="s">
        <v>1161</v>
      </c>
      <c r="E155" t="s">
        <v>1162</v>
      </c>
      <c r="F155" t="s">
        <v>47</v>
      </c>
      <c r="G155" t="s">
        <v>1163</v>
      </c>
      <c r="H155" t="s">
        <v>1164</v>
      </c>
      <c r="I155" t="s">
        <v>1165</v>
      </c>
      <c r="J155" t="s">
        <v>279</v>
      </c>
    </row>
    <row r="156" spans="1:10" x14ac:dyDescent="0.35">
      <c r="A156" t="s">
        <v>1166</v>
      </c>
      <c r="B156" t="s">
        <v>1167</v>
      </c>
      <c r="C156" t="s">
        <v>1168</v>
      </c>
      <c r="D156" t="s">
        <v>1169</v>
      </c>
      <c r="E156" t="s">
        <v>1170</v>
      </c>
      <c r="F156" t="s">
        <v>47</v>
      </c>
      <c r="G156" t="s">
        <v>1171</v>
      </c>
      <c r="H156" t="s">
        <v>1172</v>
      </c>
      <c r="I156" t="s">
        <v>1173</v>
      </c>
      <c r="J156" t="s">
        <v>279</v>
      </c>
    </row>
    <row r="157" spans="1:10" x14ac:dyDescent="0.35">
      <c r="A157" t="s">
        <v>1174</v>
      </c>
      <c r="B157" t="s">
        <v>1175</v>
      </c>
      <c r="C157" t="s">
        <v>1176</v>
      </c>
      <c r="D157" t="s">
        <v>1319</v>
      </c>
      <c r="E157" t="s">
        <v>1177</v>
      </c>
      <c r="F157" t="s">
        <v>47</v>
      </c>
      <c r="G157" t="s">
        <v>1178</v>
      </c>
      <c r="I157" t="s">
        <v>1179</v>
      </c>
      <c r="J157" t="s">
        <v>279</v>
      </c>
    </row>
    <row r="158" spans="1:10" x14ac:dyDescent="0.35">
      <c r="A158" t="s">
        <v>1180</v>
      </c>
      <c r="B158" t="s">
        <v>1181</v>
      </c>
      <c r="C158" t="s">
        <v>1182</v>
      </c>
      <c r="D158" t="s">
        <v>340</v>
      </c>
      <c r="E158" t="s">
        <v>1183</v>
      </c>
      <c r="F158" t="s">
        <v>47</v>
      </c>
      <c r="G158" t="s">
        <v>1184</v>
      </c>
      <c r="H158" t="s">
        <v>1185</v>
      </c>
      <c r="I158" t="s">
        <v>1186</v>
      </c>
      <c r="J158" t="s">
        <v>279</v>
      </c>
    </row>
    <row r="159" spans="1:10" x14ac:dyDescent="0.35">
      <c r="A159" t="s">
        <v>1187</v>
      </c>
      <c r="B159" t="s">
        <v>1188</v>
      </c>
      <c r="C159" t="s">
        <v>1189</v>
      </c>
      <c r="D159" t="s">
        <v>1190</v>
      </c>
      <c r="E159" t="s">
        <v>1191</v>
      </c>
      <c r="F159" t="s">
        <v>47</v>
      </c>
      <c r="G159" t="s">
        <v>1192</v>
      </c>
      <c r="H159" t="s">
        <v>1193</v>
      </c>
      <c r="I159" t="s">
        <v>502</v>
      </c>
      <c r="J159" t="s">
        <v>279</v>
      </c>
    </row>
    <row r="160" spans="1:10" x14ac:dyDescent="0.35">
      <c r="A160" t="s">
        <v>1194</v>
      </c>
      <c r="B160" t="s">
        <v>1195</v>
      </c>
      <c r="C160" t="s">
        <v>1196</v>
      </c>
      <c r="D160" t="s">
        <v>1197</v>
      </c>
      <c r="E160" t="s">
        <v>1198</v>
      </c>
      <c r="F160" t="s">
        <v>47</v>
      </c>
      <c r="G160" t="s">
        <v>1199</v>
      </c>
      <c r="H160" t="s">
        <v>1200</v>
      </c>
      <c r="I160" t="s">
        <v>1201</v>
      </c>
      <c r="J160" t="s">
        <v>279</v>
      </c>
    </row>
    <row r="161" spans="1:10" x14ac:dyDescent="0.35">
      <c r="A161" t="s">
        <v>1202</v>
      </c>
      <c r="B161" t="s">
        <v>1203</v>
      </c>
      <c r="C161" t="s">
        <v>1204</v>
      </c>
      <c r="D161" t="s">
        <v>1205</v>
      </c>
      <c r="E161" t="s">
        <v>1206</v>
      </c>
      <c r="F161" t="s">
        <v>47</v>
      </c>
      <c r="G161" t="s">
        <v>1207</v>
      </c>
      <c r="H161" t="s">
        <v>1208</v>
      </c>
      <c r="I161" t="s">
        <v>1209</v>
      </c>
      <c r="J161" t="s">
        <v>279</v>
      </c>
    </row>
    <row r="162" spans="1:10" x14ac:dyDescent="0.35">
      <c r="A162" t="s">
        <v>1210</v>
      </c>
      <c r="B162" t="s">
        <v>1211</v>
      </c>
      <c r="C162" t="s">
        <v>1212</v>
      </c>
      <c r="D162" t="s">
        <v>1213</v>
      </c>
      <c r="E162" t="s">
        <v>1214</v>
      </c>
      <c r="F162" t="s">
        <v>47</v>
      </c>
      <c r="G162" t="s">
        <v>1215</v>
      </c>
      <c r="H162" t="s">
        <v>1216</v>
      </c>
      <c r="I162" t="s">
        <v>502</v>
      </c>
      <c r="J162" t="s">
        <v>279</v>
      </c>
    </row>
    <row r="163" spans="1:10" x14ac:dyDescent="0.35">
      <c r="A163" t="s">
        <v>1217</v>
      </c>
      <c r="B163" t="s">
        <v>1218</v>
      </c>
      <c r="C163" t="s">
        <v>1219</v>
      </c>
      <c r="D163" t="s">
        <v>1220</v>
      </c>
      <c r="E163" t="s">
        <v>1221</v>
      </c>
      <c r="F163" t="s">
        <v>1222</v>
      </c>
      <c r="G163" t="s">
        <v>1223</v>
      </c>
      <c r="H163" t="s">
        <v>1224</v>
      </c>
      <c r="I163" t="s">
        <v>1225</v>
      </c>
      <c r="J163" t="s">
        <v>279</v>
      </c>
    </row>
    <row r="164" spans="1:10" x14ac:dyDescent="0.35">
      <c r="A164" t="s">
        <v>1226</v>
      </c>
      <c r="B164" t="s">
        <v>1227</v>
      </c>
      <c r="C164" t="s">
        <v>1228</v>
      </c>
      <c r="D164" t="s">
        <v>1229</v>
      </c>
      <c r="E164" t="s">
        <v>1230</v>
      </c>
      <c r="F164" t="s">
        <v>47</v>
      </c>
      <c r="G164" t="s">
        <v>1231</v>
      </c>
      <c r="I164" t="s">
        <v>587</v>
      </c>
      <c r="J164" t="s">
        <v>279</v>
      </c>
    </row>
    <row r="165" spans="1:10" x14ac:dyDescent="0.35">
      <c r="A165" t="s">
        <v>1232</v>
      </c>
      <c r="B165" t="s">
        <v>1233</v>
      </c>
      <c r="C165" t="s">
        <v>1234</v>
      </c>
      <c r="D165" t="s">
        <v>1235</v>
      </c>
      <c r="E165" t="s">
        <v>1236</v>
      </c>
      <c r="F165" t="s">
        <v>47</v>
      </c>
      <c r="G165" t="s">
        <v>1237</v>
      </c>
      <c r="I165" t="s">
        <v>1238</v>
      </c>
      <c r="J165" t="s">
        <v>279</v>
      </c>
    </row>
    <row r="166" spans="1:10" x14ac:dyDescent="0.35">
      <c r="A166" t="s">
        <v>1239</v>
      </c>
      <c r="B166" t="s">
        <v>1240</v>
      </c>
      <c r="C166" t="s">
        <v>1241</v>
      </c>
      <c r="D166" t="s">
        <v>1242</v>
      </c>
      <c r="E166" t="s">
        <v>1243</v>
      </c>
      <c r="F166" t="s">
        <v>47</v>
      </c>
      <c r="G166" t="s">
        <v>1244</v>
      </c>
      <c r="H166" t="s">
        <v>1245</v>
      </c>
      <c r="I166" t="s">
        <v>1246</v>
      </c>
      <c r="J166" t="s">
        <v>279</v>
      </c>
    </row>
    <row r="167" spans="1:10" x14ac:dyDescent="0.35">
      <c r="A167" t="s">
        <v>1247</v>
      </c>
      <c r="B167" t="s">
        <v>1248</v>
      </c>
      <c r="C167" t="s">
        <v>1249</v>
      </c>
      <c r="E167" t="s">
        <v>1250</v>
      </c>
      <c r="F167" t="s">
        <v>47</v>
      </c>
      <c r="G167" t="s">
        <v>1251</v>
      </c>
      <c r="H167" t="s">
        <v>1252</v>
      </c>
      <c r="I167" t="s">
        <v>849</v>
      </c>
      <c r="J167" t="s">
        <v>279</v>
      </c>
    </row>
    <row r="168" spans="1:10" x14ac:dyDescent="0.35">
      <c r="A168" t="s">
        <v>1253</v>
      </c>
      <c r="B168" t="s">
        <v>1254</v>
      </c>
      <c r="C168" t="s">
        <v>1255</v>
      </c>
      <c r="D168" t="s">
        <v>1299</v>
      </c>
      <c r="E168" t="s">
        <v>1256</v>
      </c>
      <c r="F168" t="s">
        <v>47</v>
      </c>
      <c r="G168" t="s">
        <v>1300</v>
      </c>
      <c r="I168" t="s">
        <v>1257</v>
      </c>
      <c r="J168" t="s">
        <v>279</v>
      </c>
    </row>
    <row r="169" spans="1:10" x14ac:dyDescent="0.35">
      <c r="A169" t="s">
        <v>1258</v>
      </c>
      <c r="B169" t="s">
        <v>1259</v>
      </c>
      <c r="C169" t="s">
        <v>1260</v>
      </c>
      <c r="E169" t="s">
        <v>1261</v>
      </c>
      <c r="F169" t="s">
        <v>47</v>
      </c>
      <c r="G169" t="s">
        <v>1262</v>
      </c>
      <c r="I169" t="s">
        <v>1263</v>
      </c>
      <c r="J169" t="s">
        <v>279</v>
      </c>
    </row>
    <row r="170" spans="1:10" x14ac:dyDescent="0.35">
      <c r="A170" t="s">
        <v>1264</v>
      </c>
      <c r="B170" t="s">
        <v>1265</v>
      </c>
      <c r="C170" t="s">
        <v>1266</v>
      </c>
      <c r="D170" t="s">
        <v>1267</v>
      </c>
      <c r="E170" t="s">
        <v>1268</v>
      </c>
      <c r="F170" t="s">
        <v>47</v>
      </c>
      <c r="G170" t="s">
        <v>1269</v>
      </c>
      <c r="I170" t="s">
        <v>1270</v>
      </c>
      <c r="J170" t="s">
        <v>279</v>
      </c>
    </row>
    <row r="171" spans="1:10" x14ac:dyDescent="0.35">
      <c r="A171" t="s">
        <v>1277</v>
      </c>
      <c r="B171" t="s">
        <v>1278</v>
      </c>
      <c r="C171" t="s">
        <v>1279</v>
      </c>
      <c r="D171" t="s">
        <v>1280</v>
      </c>
      <c r="E171" t="s">
        <v>1281</v>
      </c>
      <c r="F171" t="s">
        <v>47</v>
      </c>
      <c r="G171" t="s">
        <v>1282</v>
      </c>
      <c r="H171" t="s">
        <v>1283</v>
      </c>
      <c r="I171" t="s">
        <v>1284</v>
      </c>
      <c r="J171" t="s">
        <v>279</v>
      </c>
    </row>
    <row r="172" spans="1:10" x14ac:dyDescent="0.35">
      <c r="A172" t="s">
        <v>1291</v>
      </c>
      <c r="B172" t="s">
        <v>1285</v>
      </c>
      <c r="C172" t="s">
        <v>1286</v>
      </c>
      <c r="D172" t="s">
        <v>1287</v>
      </c>
      <c r="E172" t="s">
        <v>1288</v>
      </c>
      <c r="F172" t="s">
        <v>47</v>
      </c>
      <c r="G172" t="s">
        <v>1289</v>
      </c>
      <c r="I172" t="s">
        <v>1290</v>
      </c>
      <c r="J172" t="s">
        <v>279</v>
      </c>
    </row>
    <row r="173" spans="1:10" x14ac:dyDescent="0.35">
      <c r="A173" t="s">
        <v>1292</v>
      </c>
      <c r="B173" t="s">
        <v>1293</v>
      </c>
      <c r="C173" t="s">
        <v>1294</v>
      </c>
      <c r="D173" t="s">
        <v>1295</v>
      </c>
      <c r="E173" t="s">
        <v>1296</v>
      </c>
      <c r="F173" t="s">
        <v>47</v>
      </c>
      <c r="G173" t="s">
        <v>1297</v>
      </c>
      <c r="H173" t="s">
        <v>1298</v>
      </c>
      <c r="I173" t="s">
        <v>1301</v>
      </c>
      <c r="J173" t="s">
        <v>279</v>
      </c>
    </row>
    <row r="174" spans="1:10" x14ac:dyDescent="0.35">
      <c r="A174" t="s">
        <v>1302</v>
      </c>
      <c r="B174" t="s">
        <v>1303</v>
      </c>
      <c r="C174" t="s">
        <v>1304</v>
      </c>
      <c r="D174" t="s">
        <v>1305</v>
      </c>
      <c r="E174" t="s">
        <v>1306</v>
      </c>
      <c r="F174" t="s">
        <v>47</v>
      </c>
      <c r="G174" t="s">
        <v>1307</v>
      </c>
      <c r="H174" t="s">
        <v>1308</v>
      </c>
      <c r="I174" t="s">
        <v>1309</v>
      </c>
      <c r="J174" t="s">
        <v>95</v>
      </c>
    </row>
    <row r="175" spans="1:10" x14ac:dyDescent="0.35">
      <c r="A175" t="s">
        <v>1320</v>
      </c>
      <c r="B175" t="s">
        <v>1310</v>
      </c>
      <c r="C175" t="s">
        <v>1321</v>
      </c>
      <c r="D175" t="s">
        <v>1322</v>
      </c>
      <c r="E175" t="s">
        <v>1323</v>
      </c>
      <c r="F175" t="s">
        <v>47</v>
      </c>
      <c r="G175" t="s">
        <v>1324</v>
      </c>
      <c r="I175" t="s">
        <v>1325</v>
      </c>
      <c r="J175" t="s">
        <v>279</v>
      </c>
    </row>
    <row r="176" spans="1:10" x14ac:dyDescent="0.35">
      <c r="A176" t="s">
        <v>1326</v>
      </c>
      <c r="B176" t="s">
        <v>1311</v>
      </c>
      <c r="C176" t="s">
        <v>1327</v>
      </c>
      <c r="D176" t="s">
        <v>1328</v>
      </c>
      <c r="E176" t="s">
        <v>1329</v>
      </c>
      <c r="F176" t="s">
        <v>47</v>
      </c>
      <c r="G176" t="s">
        <v>1330</v>
      </c>
      <c r="I176" t="s">
        <v>1331</v>
      </c>
      <c r="J176" t="s">
        <v>279</v>
      </c>
    </row>
    <row r="177" spans="1:10" x14ac:dyDescent="0.35">
      <c r="A177" t="s">
        <v>1332</v>
      </c>
      <c r="B177" t="s">
        <v>1312</v>
      </c>
      <c r="C177" t="s">
        <v>1333</v>
      </c>
      <c r="D177" t="s">
        <v>1334</v>
      </c>
      <c r="E177" t="s">
        <v>1335</v>
      </c>
      <c r="F177" t="s">
        <v>47</v>
      </c>
      <c r="G177" t="s">
        <v>1336</v>
      </c>
      <c r="H177" t="s">
        <v>1337</v>
      </c>
      <c r="I177" t="s">
        <v>1338</v>
      </c>
      <c r="J177" t="s">
        <v>1339</v>
      </c>
    </row>
    <row r="178" spans="1:10" x14ac:dyDescent="0.35">
      <c r="A178" t="s">
        <v>1340</v>
      </c>
      <c r="B178" t="s">
        <v>1341</v>
      </c>
      <c r="C178" t="s">
        <v>1342</v>
      </c>
      <c r="D178" t="s">
        <v>1343</v>
      </c>
      <c r="E178" t="s">
        <v>1344</v>
      </c>
      <c r="F178" t="s">
        <v>47</v>
      </c>
      <c r="G178" t="s">
        <v>1345</v>
      </c>
      <c r="I178" t="s">
        <v>1346</v>
      </c>
      <c r="J178" t="s">
        <v>1339</v>
      </c>
    </row>
    <row r="179" spans="1:10" x14ac:dyDescent="0.35">
      <c r="A179" t="s">
        <v>1347</v>
      </c>
      <c r="B179" t="s">
        <v>1348</v>
      </c>
      <c r="C179" t="s">
        <v>1349</v>
      </c>
      <c r="E179" t="s">
        <v>1350</v>
      </c>
      <c r="F179" t="s">
        <v>47</v>
      </c>
      <c r="G179" t="s">
        <v>1351</v>
      </c>
      <c r="H179" t="s">
        <v>1352</v>
      </c>
      <c r="I179" t="s">
        <v>1353</v>
      </c>
      <c r="J179" t="s">
        <v>1339</v>
      </c>
    </row>
    <row r="180" spans="1:10" x14ac:dyDescent="0.35">
      <c r="A180" t="s">
        <v>1354</v>
      </c>
      <c r="B180" t="s">
        <v>1355</v>
      </c>
      <c r="C180" t="s">
        <v>1356</v>
      </c>
      <c r="D180" t="s">
        <v>1357</v>
      </c>
      <c r="E180" t="s">
        <v>1358</v>
      </c>
      <c r="F180" t="s">
        <v>47</v>
      </c>
      <c r="G180" t="s">
        <v>1359</v>
      </c>
      <c r="H180" t="s">
        <v>1360</v>
      </c>
      <c r="I180" t="s">
        <v>1361</v>
      </c>
      <c r="J180" t="s">
        <v>95</v>
      </c>
    </row>
    <row r="181" spans="1:10" x14ac:dyDescent="0.35">
      <c r="A181" t="s">
        <v>1362</v>
      </c>
      <c r="B181" t="s">
        <v>1363</v>
      </c>
      <c r="C181" t="s">
        <v>1364</v>
      </c>
      <c r="D181" t="s">
        <v>1365</v>
      </c>
      <c r="E181" t="s">
        <v>1366</v>
      </c>
      <c r="F181" t="s">
        <v>47</v>
      </c>
      <c r="G181" t="s">
        <v>1367</v>
      </c>
      <c r="J181" t="s">
        <v>279</v>
      </c>
    </row>
    <row r="182" spans="1:10" x14ac:dyDescent="0.35">
      <c r="A182" t="s">
        <v>1368</v>
      </c>
      <c r="B182" t="s">
        <v>1369</v>
      </c>
      <c r="C182" t="s">
        <v>1370</v>
      </c>
      <c r="D182" t="s">
        <v>1371</v>
      </c>
      <c r="E182" t="s">
        <v>1372</v>
      </c>
      <c r="F182" t="s">
        <v>47</v>
      </c>
      <c r="G182" t="s">
        <v>1373</v>
      </c>
      <c r="H182" t="s">
        <v>1374</v>
      </c>
      <c r="I182" t="s">
        <v>1375</v>
      </c>
      <c r="J182" t="s">
        <v>279</v>
      </c>
    </row>
    <row r="185" spans="1:10" x14ac:dyDescent="0.35">
      <c r="A185" t="s">
        <v>1271</v>
      </c>
      <c r="C185" t="s">
        <v>1272</v>
      </c>
      <c r="D185" t="s">
        <v>340</v>
      </c>
      <c r="E185" t="s">
        <v>1273</v>
      </c>
      <c r="G185" t="s">
        <v>1274</v>
      </c>
      <c r="H185" t="s">
        <v>1275</v>
      </c>
      <c r="I185" t="s">
        <v>1276</v>
      </c>
      <c r="J185" t="s">
        <v>279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I745"/>
  <sheetViews>
    <sheetView tabSelected="1" workbookViewId="0">
      <selection activeCell="F8" sqref="F8"/>
    </sheetView>
  </sheetViews>
  <sheetFormatPr defaultRowHeight="14.5" x14ac:dyDescent="0.35"/>
  <cols>
    <col min="6" max="6" width="10.36328125" bestFit="1" customWidth="1"/>
    <col min="7" max="7" width="10" customWidth="1"/>
    <col min="8" max="8" width="21.54296875" customWidth="1"/>
    <col min="9" max="9" width="10" customWidth="1"/>
    <col min="11" max="11" width="17.1796875" customWidth="1"/>
  </cols>
  <sheetData>
    <row r="2" spans="1:9" ht="23.5" x14ac:dyDescent="0.55000000000000004">
      <c r="A2" s="58" t="s">
        <v>35</v>
      </c>
      <c r="B2" s="58"/>
      <c r="C2" s="58"/>
      <c r="D2" s="58"/>
      <c r="E2" s="58"/>
      <c r="F2" s="20" t="s">
        <v>54</v>
      </c>
    </row>
    <row r="3" spans="1:9" ht="23.25" customHeight="1" x14ac:dyDescent="0.55000000000000004">
      <c r="A3" s="61" t="s">
        <v>70</v>
      </c>
      <c r="B3" s="58"/>
      <c r="C3" s="58"/>
      <c r="D3" s="58"/>
      <c r="E3" s="58"/>
      <c r="F3" s="59"/>
      <c r="G3" s="60"/>
    </row>
    <row r="4" spans="1:9" ht="23.25" customHeight="1" x14ac:dyDescent="0.55000000000000004">
      <c r="A4" s="61" t="s">
        <v>23</v>
      </c>
      <c r="B4" s="58"/>
      <c r="C4" s="58"/>
      <c r="D4" s="58"/>
      <c r="E4" s="58"/>
      <c r="F4" s="65" t="s">
        <v>1376</v>
      </c>
      <c r="G4" s="66"/>
    </row>
    <row r="5" spans="1:9" ht="23.25" customHeight="1" x14ac:dyDescent="0.55000000000000004">
      <c r="A5" s="61" t="s">
        <v>24</v>
      </c>
      <c r="B5" s="58"/>
      <c r="C5" s="58"/>
      <c r="D5" s="58"/>
      <c r="E5" s="58"/>
      <c r="F5" s="59"/>
      <c r="G5" s="60"/>
    </row>
    <row r="6" spans="1:9" ht="38.5" customHeight="1" x14ac:dyDescent="0.55000000000000004">
      <c r="A6" s="61" t="s">
        <v>37</v>
      </c>
      <c r="B6" s="58"/>
      <c r="C6" s="58"/>
      <c r="D6" s="58"/>
      <c r="E6" s="58"/>
      <c r="F6" s="64"/>
      <c r="G6" s="60"/>
    </row>
    <row r="7" spans="1:9" ht="39" customHeight="1" x14ac:dyDescent="0.55000000000000004">
      <c r="A7" s="61" t="s">
        <v>43</v>
      </c>
      <c r="B7" s="58"/>
      <c r="C7" s="58"/>
      <c r="D7" s="58"/>
      <c r="E7" s="58"/>
      <c r="F7" s="62" t="str">
        <f>IF(Order!K38&lt;500000,"Approved By Ona Moloane","Approved By Simbongile Bantubani")</f>
        <v>Approved By Ona Moloane</v>
      </c>
      <c r="G7" s="63"/>
    </row>
    <row r="8" spans="1:9" ht="15" thickBot="1" x14ac:dyDescent="0.4"/>
    <row r="9" spans="1:9" x14ac:dyDescent="0.35">
      <c r="A9" s="115" t="s">
        <v>11</v>
      </c>
      <c r="B9" s="11" t="s">
        <v>64</v>
      </c>
      <c r="C9" s="12"/>
      <c r="D9" s="13"/>
      <c r="E9" s="14"/>
      <c r="F9" s="82">
        <f ca="1">TODAY()</f>
        <v>45852</v>
      </c>
      <c r="G9" s="83"/>
      <c r="H9" s="83"/>
      <c r="I9" s="84"/>
    </row>
    <row r="10" spans="1:9" x14ac:dyDescent="0.35">
      <c r="A10" s="116"/>
      <c r="B10" s="15" t="s">
        <v>1</v>
      </c>
      <c r="C10" s="7"/>
      <c r="D10" s="8"/>
      <c r="E10" s="9"/>
      <c r="F10" s="85" t="str">
        <f>IF(F3="","",VLOOKUP(F3,Suppliers__2[],10,FALSE))</f>
        <v/>
      </c>
      <c r="G10" s="86"/>
      <c r="H10" s="86"/>
      <c r="I10" s="87"/>
    </row>
    <row r="11" spans="1:9" x14ac:dyDescent="0.35">
      <c r="A11" s="116"/>
      <c r="B11" s="15" t="s">
        <v>2</v>
      </c>
      <c r="C11" s="7"/>
      <c r="D11" s="8"/>
      <c r="E11" s="9"/>
      <c r="F11" s="88" t="s">
        <v>58</v>
      </c>
      <c r="G11" s="89"/>
      <c r="H11" s="89"/>
      <c r="I11" s="90"/>
    </row>
    <row r="12" spans="1:9" x14ac:dyDescent="0.35">
      <c r="A12" s="116"/>
      <c r="B12" s="15" t="s">
        <v>3</v>
      </c>
      <c r="C12" s="7"/>
      <c r="D12" s="8"/>
      <c r="E12" s="9"/>
      <c r="F12" s="91" t="s">
        <v>56</v>
      </c>
      <c r="G12" s="92"/>
      <c r="H12" s="92"/>
      <c r="I12" s="93"/>
    </row>
    <row r="13" spans="1:9" x14ac:dyDescent="0.35">
      <c r="A13" s="116"/>
      <c r="B13" s="15" t="s">
        <v>69</v>
      </c>
      <c r="C13" s="7"/>
      <c r="D13" s="8"/>
      <c r="E13" s="9"/>
      <c r="F13" s="97">
        <v>4010288142</v>
      </c>
      <c r="G13" s="98"/>
      <c r="H13" s="98"/>
      <c r="I13" s="99"/>
    </row>
    <row r="14" spans="1:9" x14ac:dyDescent="0.35">
      <c r="A14" s="116"/>
      <c r="B14" s="94" t="s">
        <v>5</v>
      </c>
      <c r="C14" s="95"/>
      <c r="D14" s="95"/>
      <c r="E14" s="96"/>
      <c r="F14" s="79"/>
      <c r="G14" s="80"/>
      <c r="H14" s="80"/>
      <c r="I14" s="81"/>
    </row>
    <row r="15" spans="1:9" x14ac:dyDescent="0.35">
      <c r="A15" s="116"/>
      <c r="B15" s="1"/>
      <c r="I15" s="2"/>
    </row>
    <row r="16" spans="1:9" x14ac:dyDescent="0.35">
      <c r="A16" s="116"/>
      <c r="B16" s="1"/>
      <c r="I16" s="2"/>
    </row>
    <row r="17" spans="1:9" x14ac:dyDescent="0.35">
      <c r="A17" s="116"/>
      <c r="B17" s="75" t="s">
        <v>68</v>
      </c>
      <c r="C17" s="68"/>
      <c r="D17" s="68"/>
      <c r="E17" s="76"/>
      <c r="F17" s="67" t="str">
        <f>IF(F3="","",VLOOKUP(F3,Suppliers__2[],2,FALSE))</f>
        <v/>
      </c>
      <c r="G17" s="68"/>
      <c r="H17" s="68"/>
      <c r="I17" s="69"/>
    </row>
    <row r="18" spans="1:9" x14ac:dyDescent="0.35">
      <c r="A18" s="116"/>
      <c r="B18" s="77"/>
      <c r="C18" s="71"/>
      <c r="D18" s="71"/>
      <c r="E18" s="78"/>
      <c r="F18" s="70"/>
      <c r="G18" s="71"/>
      <c r="H18" s="71"/>
      <c r="I18" s="72"/>
    </row>
    <row r="19" spans="1:9" x14ac:dyDescent="0.35">
      <c r="A19" s="116"/>
      <c r="B19" s="75" t="s">
        <v>66</v>
      </c>
      <c r="C19" s="68"/>
      <c r="D19" s="68"/>
      <c r="E19" s="76"/>
      <c r="F19" s="73" t="str">
        <f>IF(F3="","",VLOOKUP(F3,Suppliers__2[],3,FALSE))</f>
        <v/>
      </c>
      <c r="G19" s="68"/>
      <c r="H19" s="68"/>
      <c r="I19" s="69"/>
    </row>
    <row r="20" spans="1:9" x14ac:dyDescent="0.35">
      <c r="A20" s="116"/>
      <c r="B20" s="77"/>
      <c r="C20" s="71"/>
      <c r="D20" s="71"/>
      <c r="E20" s="78"/>
      <c r="F20" s="74"/>
      <c r="G20" s="59"/>
      <c r="H20" s="59"/>
      <c r="I20" s="60"/>
    </row>
    <row r="21" spans="1:9" x14ac:dyDescent="0.35">
      <c r="A21" s="116"/>
      <c r="B21" s="75" t="s">
        <v>4</v>
      </c>
      <c r="C21" s="68"/>
      <c r="D21" s="68"/>
      <c r="E21" s="68"/>
      <c r="F21" s="67" t="str">
        <f>IF(F3="","",VLOOKUP(F3,Suppliers__2[],6,FALSE))</f>
        <v/>
      </c>
      <c r="G21" s="68"/>
      <c r="H21" s="68"/>
      <c r="I21" s="69"/>
    </row>
    <row r="22" spans="1:9" x14ac:dyDescent="0.35">
      <c r="A22" s="116"/>
      <c r="B22" s="130"/>
      <c r="C22" s="59"/>
      <c r="D22" s="59"/>
      <c r="E22" s="59"/>
      <c r="F22" s="74"/>
      <c r="G22" s="59"/>
      <c r="H22" s="59"/>
      <c r="I22" s="60"/>
    </row>
    <row r="23" spans="1:9" x14ac:dyDescent="0.35">
      <c r="A23" s="116"/>
      <c r="B23" s="75" t="s">
        <v>7</v>
      </c>
      <c r="C23" s="68"/>
      <c r="D23" s="68"/>
      <c r="E23" s="76"/>
      <c r="F23" s="67" t="str">
        <f>IF(F3="","",VLOOKUP(F3,Suppliers__2[],4,FALSE))</f>
        <v/>
      </c>
      <c r="G23" s="68"/>
      <c r="H23" s="68"/>
      <c r="I23" s="69"/>
    </row>
    <row r="24" spans="1:9" x14ac:dyDescent="0.35">
      <c r="A24" s="116"/>
      <c r="B24" s="77"/>
      <c r="C24" s="71"/>
      <c r="D24" s="71"/>
      <c r="E24" s="78"/>
      <c r="F24" s="70"/>
      <c r="G24" s="71"/>
      <c r="H24" s="71"/>
      <c r="I24" s="72"/>
    </row>
    <row r="25" spans="1:9" x14ac:dyDescent="0.35">
      <c r="A25" s="116"/>
      <c r="B25" s="107" t="s">
        <v>10</v>
      </c>
      <c r="C25" s="108"/>
      <c r="D25" s="108"/>
      <c r="E25" s="108"/>
      <c r="F25" s="121" t="str">
        <f>IF(F3="","",VLOOKUP(F3,Suppliers__2[],7,FALSE))</f>
        <v/>
      </c>
      <c r="G25" s="68"/>
      <c r="H25" s="68"/>
      <c r="I25" s="69"/>
    </row>
    <row r="26" spans="1:9" x14ac:dyDescent="0.35">
      <c r="A26" s="116"/>
      <c r="B26" s="113"/>
      <c r="C26" s="114"/>
      <c r="D26" s="114"/>
      <c r="E26" s="114"/>
      <c r="F26" s="74"/>
      <c r="G26" s="59"/>
      <c r="H26" s="59"/>
      <c r="I26" s="60"/>
    </row>
    <row r="27" spans="1:9" ht="14.5" customHeight="1" x14ac:dyDescent="0.35">
      <c r="A27" s="116"/>
      <c r="B27" s="107" t="s">
        <v>8</v>
      </c>
      <c r="C27" s="108"/>
      <c r="D27" s="108"/>
      <c r="E27" s="108"/>
      <c r="F27" s="125" t="str">
        <f>IF(F3="","",VLOOKUP(F3,Suppliers__2[],5,FALSE))</f>
        <v/>
      </c>
      <c r="G27" s="68"/>
      <c r="H27" s="68"/>
      <c r="I27" s="69"/>
    </row>
    <row r="28" spans="1:9" x14ac:dyDescent="0.35">
      <c r="A28" s="116"/>
      <c r="B28" s="107" t="s">
        <v>9</v>
      </c>
      <c r="C28" s="108"/>
      <c r="D28" s="108"/>
      <c r="E28" s="108"/>
      <c r="F28" s="126"/>
      <c r="G28" s="68"/>
      <c r="H28" s="68"/>
      <c r="I28" s="69"/>
    </row>
    <row r="29" spans="1:9" ht="15" thickBot="1" x14ac:dyDescent="0.4">
      <c r="A29" s="117"/>
      <c r="B29" s="110"/>
      <c r="C29" s="111"/>
      <c r="D29" s="111"/>
      <c r="E29" s="111"/>
      <c r="F29" s="101"/>
      <c r="G29" s="102"/>
      <c r="H29" s="102"/>
      <c r="I29" s="103"/>
    </row>
    <row r="30" spans="1:9" x14ac:dyDescent="0.35">
      <c r="A30" s="104" t="s">
        <v>12</v>
      </c>
      <c r="B30" s="127" t="s">
        <v>13</v>
      </c>
      <c r="C30" s="123"/>
      <c r="D30" s="123"/>
      <c r="E30" s="128"/>
      <c r="F30" s="122" t="s">
        <v>60</v>
      </c>
      <c r="G30" s="123"/>
      <c r="H30" s="123"/>
      <c r="I30" s="124"/>
    </row>
    <row r="31" spans="1:9" x14ac:dyDescent="0.35">
      <c r="A31" s="105"/>
      <c r="B31" s="77"/>
      <c r="C31" s="71"/>
      <c r="D31" s="71"/>
      <c r="E31" s="78"/>
      <c r="F31" s="70"/>
      <c r="G31" s="71"/>
      <c r="H31" s="71"/>
      <c r="I31" s="72"/>
    </row>
    <row r="32" spans="1:9" x14ac:dyDescent="0.35">
      <c r="A32" s="105"/>
      <c r="B32" s="75" t="s">
        <v>39</v>
      </c>
      <c r="C32" s="68"/>
      <c r="D32" s="68"/>
      <c r="E32" s="76"/>
      <c r="F32" s="73" t="s">
        <v>61</v>
      </c>
      <c r="G32" s="68"/>
      <c r="H32" s="68"/>
      <c r="I32" s="69"/>
    </row>
    <row r="33" spans="1:9" x14ac:dyDescent="0.35">
      <c r="A33" s="105"/>
      <c r="B33" s="77"/>
      <c r="C33" s="71"/>
      <c r="D33" s="71"/>
      <c r="E33" s="78"/>
      <c r="F33" s="70"/>
      <c r="G33" s="71"/>
      <c r="H33" s="71"/>
      <c r="I33" s="72"/>
    </row>
    <row r="34" spans="1:9" x14ac:dyDescent="0.35">
      <c r="A34" s="105"/>
      <c r="B34" s="75" t="s">
        <v>40</v>
      </c>
      <c r="C34" s="68"/>
      <c r="D34" s="68"/>
      <c r="E34" s="76"/>
      <c r="F34" s="73" t="s">
        <v>62</v>
      </c>
      <c r="G34" s="68"/>
      <c r="H34" s="68"/>
      <c r="I34" s="69"/>
    </row>
    <row r="35" spans="1:9" x14ac:dyDescent="0.35">
      <c r="A35" s="105"/>
      <c r="B35" s="77"/>
      <c r="C35" s="71"/>
      <c r="D35" s="71"/>
      <c r="E35" s="78"/>
      <c r="F35" s="70"/>
      <c r="G35" s="71"/>
      <c r="H35" s="71"/>
      <c r="I35" s="72"/>
    </row>
    <row r="36" spans="1:9" x14ac:dyDescent="0.35">
      <c r="A36" s="105"/>
      <c r="B36" s="75" t="s">
        <v>6</v>
      </c>
      <c r="C36" s="68"/>
      <c r="D36" s="68"/>
      <c r="E36" s="76"/>
      <c r="F36" s="67" t="s">
        <v>46</v>
      </c>
      <c r="G36" s="68"/>
      <c r="H36" s="68"/>
      <c r="I36" s="69"/>
    </row>
    <row r="37" spans="1:9" x14ac:dyDescent="0.35">
      <c r="A37" s="105"/>
      <c r="B37" s="77"/>
      <c r="C37" s="71"/>
      <c r="D37" s="71"/>
      <c r="E37" s="78"/>
      <c r="F37" s="70"/>
      <c r="G37" s="71"/>
      <c r="H37" s="71"/>
      <c r="I37" s="72"/>
    </row>
    <row r="38" spans="1:9" x14ac:dyDescent="0.35">
      <c r="A38" s="105"/>
      <c r="B38" s="75" t="s">
        <v>7</v>
      </c>
      <c r="C38" s="68"/>
      <c r="D38" s="68"/>
      <c r="E38" s="76"/>
      <c r="F38" s="67" t="s">
        <v>57</v>
      </c>
      <c r="G38" s="68"/>
      <c r="H38" s="68"/>
      <c r="I38" s="69"/>
    </row>
    <row r="39" spans="1:9" x14ac:dyDescent="0.35">
      <c r="A39" s="105"/>
      <c r="B39" s="77"/>
      <c r="C39" s="71"/>
      <c r="D39" s="71"/>
      <c r="E39" s="78"/>
      <c r="F39" s="70"/>
      <c r="G39" s="71"/>
      <c r="H39" s="71"/>
      <c r="I39" s="72"/>
    </row>
    <row r="40" spans="1:9" x14ac:dyDescent="0.35">
      <c r="A40" s="105"/>
      <c r="B40" s="107" t="s">
        <v>8</v>
      </c>
      <c r="C40" s="108"/>
      <c r="D40" s="108"/>
      <c r="E40" s="109"/>
      <c r="F40" s="100" t="s">
        <v>75</v>
      </c>
      <c r="G40" s="68"/>
      <c r="H40" s="68"/>
      <c r="I40" s="69"/>
    </row>
    <row r="41" spans="1:9" ht="15" thickBot="1" x14ac:dyDescent="0.4">
      <c r="A41" s="105"/>
      <c r="B41" s="118"/>
      <c r="C41" s="119"/>
      <c r="D41" s="119"/>
      <c r="E41" s="120"/>
      <c r="F41" s="101"/>
      <c r="G41" s="102"/>
      <c r="H41" s="102"/>
      <c r="I41" s="103"/>
    </row>
    <row r="42" spans="1:9" x14ac:dyDescent="0.35">
      <c r="A42" s="105"/>
      <c r="B42" s="107" t="s">
        <v>9</v>
      </c>
      <c r="C42" s="108"/>
      <c r="D42" s="108"/>
      <c r="E42" s="109"/>
      <c r="F42" s="67"/>
      <c r="G42" s="68"/>
      <c r="H42" s="68"/>
      <c r="I42" s="69"/>
    </row>
    <row r="43" spans="1:9" ht="15" thickBot="1" x14ac:dyDescent="0.4">
      <c r="A43" s="106"/>
      <c r="B43" s="110"/>
      <c r="C43" s="111"/>
      <c r="D43" s="111"/>
      <c r="E43" s="112"/>
      <c r="F43" s="101"/>
      <c r="G43" s="102"/>
      <c r="H43" s="102"/>
      <c r="I43" s="103"/>
    </row>
    <row r="44" spans="1:9" x14ac:dyDescent="0.35">
      <c r="A44" s="31"/>
      <c r="B44" s="17"/>
      <c r="C44" s="17"/>
      <c r="D44" s="17"/>
      <c r="E44" s="17"/>
      <c r="F44" s="25"/>
      <c r="G44" s="25"/>
      <c r="H44" s="25"/>
      <c r="I44" s="25"/>
    </row>
    <row r="45" spans="1:9" x14ac:dyDescent="0.35">
      <c r="A45" s="31"/>
      <c r="B45" s="17"/>
      <c r="C45" s="17"/>
      <c r="D45" s="17"/>
      <c r="E45" s="17"/>
      <c r="F45" s="25"/>
      <c r="G45" s="25"/>
      <c r="H45" s="25"/>
      <c r="I45" s="25"/>
    </row>
    <row r="47" spans="1:9" x14ac:dyDescent="0.35">
      <c r="A47" s="22" t="s">
        <v>27</v>
      </c>
      <c r="B47" s="22" t="s">
        <v>34</v>
      </c>
      <c r="C47" s="129" t="s">
        <v>33</v>
      </c>
      <c r="D47" s="129"/>
      <c r="E47" s="129"/>
      <c r="F47" s="22" t="s">
        <v>32</v>
      </c>
      <c r="G47" s="22" t="s">
        <v>31</v>
      </c>
      <c r="H47" s="22" t="s">
        <v>38</v>
      </c>
    </row>
    <row r="48" spans="1:9" ht="14.5" customHeight="1" x14ac:dyDescent="0.35">
      <c r="A48" s="40"/>
      <c r="B48" s="41"/>
      <c r="C48" s="42"/>
      <c r="D48" s="42"/>
      <c r="E48" s="42"/>
      <c r="F48" s="43"/>
      <c r="G48" s="44"/>
      <c r="H48" s="45"/>
    </row>
    <row r="49" spans="1:8" ht="14.5" customHeight="1" x14ac:dyDescent="0.35">
      <c r="A49" s="40"/>
      <c r="B49" s="41"/>
      <c r="C49" s="42"/>
      <c r="D49" s="42"/>
      <c r="E49" s="42"/>
      <c r="F49" s="43"/>
      <c r="G49" s="44"/>
      <c r="H49" s="45"/>
    </row>
    <row r="50" spans="1:8" ht="14.5" customHeight="1" x14ac:dyDescent="0.35">
      <c r="A50" s="40"/>
      <c r="B50" s="41"/>
      <c r="C50" s="42"/>
      <c r="D50" s="42"/>
      <c r="E50" s="42"/>
      <c r="F50" s="43"/>
      <c r="G50" s="44"/>
      <c r="H50" s="45"/>
    </row>
    <row r="51" spans="1:8" ht="14.5" customHeight="1" x14ac:dyDescent="0.35">
      <c r="A51" s="40"/>
      <c r="B51" s="41"/>
      <c r="C51" s="42"/>
      <c r="D51" s="42"/>
      <c r="E51" s="42"/>
      <c r="F51" s="43"/>
      <c r="G51" s="44"/>
      <c r="H51" s="45"/>
    </row>
    <row r="52" spans="1:8" ht="14.5" customHeight="1" x14ac:dyDescent="0.35">
      <c r="A52" s="40"/>
      <c r="B52" s="41"/>
      <c r="C52" s="42"/>
      <c r="D52" s="42"/>
      <c r="E52" s="42"/>
      <c r="F52" s="43"/>
      <c r="G52" s="44"/>
      <c r="H52" s="45"/>
    </row>
    <row r="53" spans="1:8" ht="14.5" customHeight="1" x14ac:dyDescent="0.35">
      <c r="A53" s="40"/>
      <c r="B53" s="41"/>
      <c r="C53" s="42"/>
      <c r="D53" s="42"/>
      <c r="E53" s="42"/>
      <c r="F53" s="43"/>
      <c r="G53" s="44"/>
      <c r="H53" s="45"/>
    </row>
    <row r="54" spans="1:8" ht="14.5" customHeight="1" x14ac:dyDescent="0.35">
      <c r="A54" s="40"/>
      <c r="B54" s="41"/>
      <c r="C54" s="42"/>
      <c r="D54" s="42"/>
      <c r="E54" s="42"/>
      <c r="F54" s="43"/>
      <c r="G54" s="44"/>
      <c r="H54" s="45"/>
    </row>
    <row r="55" spans="1:8" ht="14.5" customHeight="1" x14ac:dyDescent="0.35">
      <c r="A55" s="40"/>
      <c r="B55" s="41"/>
      <c r="C55" s="42"/>
      <c r="D55" s="42"/>
      <c r="E55" s="42"/>
      <c r="F55" s="43"/>
      <c r="G55" s="44"/>
      <c r="H55" s="45"/>
    </row>
    <row r="56" spans="1:8" ht="14.5" customHeight="1" x14ac:dyDescent="0.35">
      <c r="A56" s="40"/>
      <c r="B56" s="41"/>
      <c r="C56" s="49"/>
      <c r="D56" s="42"/>
      <c r="E56" s="42"/>
      <c r="F56" s="43"/>
      <c r="G56" s="44"/>
      <c r="H56" s="45"/>
    </row>
    <row r="57" spans="1:8" ht="14.5" customHeight="1" x14ac:dyDescent="0.35">
      <c r="A57" s="40"/>
      <c r="B57" s="41"/>
      <c r="C57" s="42"/>
      <c r="D57" s="42"/>
      <c r="E57" s="42"/>
      <c r="F57" s="43"/>
      <c r="G57" s="44"/>
      <c r="H57" s="45"/>
    </row>
    <row r="58" spans="1:8" ht="14.5" customHeight="1" x14ac:dyDescent="0.35">
      <c r="A58" s="40"/>
      <c r="B58" s="41"/>
      <c r="C58" s="42"/>
      <c r="D58" s="42"/>
      <c r="E58" s="42"/>
      <c r="F58" s="43"/>
      <c r="G58" s="44"/>
      <c r="H58" s="45"/>
    </row>
    <row r="59" spans="1:8" ht="14.5" customHeight="1" x14ac:dyDescent="0.35">
      <c r="A59" s="40"/>
      <c r="B59" s="41"/>
      <c r="C59" s="42"/>
      <c r="D59" s="42"/>
      <c r="E59" s="42"/>
      <c r="F59" s="43"/>
      <c r="G59" s="44"/>
      <c r="H59" s="45"/>
    </row>
    <row r="60" spans="1:8" ht="14.5" customHeight="1" x14ac:dyDescent="0.35">
      <c r="A60" s="40"/>
      <c r="B60" s="41"/>
      <c r="C60" s="42"/>
      <c r="D60" s="42"/>
      <c r="E60" s="42"/>
      <c r="F60" s="43"/>
      <c r="G60" s="44"/>
      <c r="H60" s="45"/>
    </row>
    <row r="61" spans="1:8" ht="14.5" customHeight="1" x14ac:dyDescent="0.35">
      <c r="A61" s="40"/>
      <c r="B61" s="41"/>
      <c r="C61" s="42"/>
      <c r="D61" s="42"/>
      <c r="E61" s="42"/>
      <c r="F61" s="43"/>
      <c r="G61" s="44"/>
      <c r="H61" s="45"/>
    </row>
    <row r="62" spans="1:8" ht="14.5" customHeight="1" x14ac:dyDescent="0.35">
      <c r="A62" s="40"/>
      <c r="B62" s="41"/>
      <c r="C62" s="42"/>
      <c r="D62" s="42"/>
      <c r="E62" s="42"/>
      <c r="F62" s="43"/>
      <c r="G62" s="44"/>
      <c r="H62" s="45"/>
    </row>
    <row r="63" spans="1:8" ht="14.5" customHeight="1" x14ac:dyDescent="0.35">
      <c r="A63" s="40"/>
      <c r="B63" s="41"/>
      <c r="C63" s="42"/>
      <c r="D63" s="42"/>
      <c r="E63" s="42"/>
      <c r="F63" s="43"/>
      <c r="G63" s="44"/>
      <c r="H63" s="45"/>
    </row>
    <row r="64" spans="1:8" ht="14.5" customHeight="1" x14ac:dyDescent="0.35">
      <c r="A64" s="40"/>
      <c r="B64" s="41"/>
      <c r="C64" s="42"/>
      <c r="D64" s="42"/>
      <c r="E64" s="42"/>
      <c r="F64" s="43"/>
      <c r="G64" s="44"/>
      <c r="H64" s="45"/>
    </row>
    <row r="65" spans="1:8" ht="14.5" customHeight="1" x14ac:dyDescent="0.35">
      <c r="A65" s="40"/>
      <c r="B65" s="41"/>
      <c r="C65" s="42"/>
      <c r="D65" s="42"/>
      <c r="E65" s="42"/>
      <c r="F65" s="43"/>
      <c r="G65" s="44"/>
      <c r="H65" s="45"/>
    </row>
    <row r="66" spans="1:8" ht="14.5" customHeight="1" x14ac:dyDescent="0.35">
      <c r="A66" s="40"/>
      <c r="B66" s="41"/>
      <c r="C66" s="42"/>
      <c r="D66" s="42"/>
      <c r="E66" s="42"/>
      <c r="F66" s="43"/>
      <c r="G66" s="44"/>
      <c r="H66" s="45"/>
    </row>
    <row r="67" spans="1:8" ht="14.5" customHeight="1" x14ac:dyDescent="0.35">
      <c r="A67" s="40"/>
      <c r="B67" s="41"/>
      <c r="C67" s="42"/>
      <c r="D67" s="42"/>
      <c r="E67" s="42"/>
      <c r="F67" s="43"/>
      <c r="G67" s="44"/>
      <c r="H67" s="45"/>
    </row>
    <row r="68" spans="1:8" ht="14.5" customHeight="1" x14ac:dyDescent="0.35">
      <c r="A68" s="40"/>
      <c r="B68" s="41"/>
      <c r="C68" s="42"/>
      <c r="D68" s="42"/>
      <c r="E68" s="42"/>
      <c r="F68" s="43"/>
      <c r="G68" s="44"/>
      <c r="H68" s="45"/>
    </row>
    <row r="69" spans="1:8" x14ac:dyDescent="0.35">
      <c r="H69" s="24"/>
    </row>
    <row r="70" spans="1:8" x14ac:dyDescent="0.35">
      <c r="H70" s="24"/>
    </row>
    <row r="71" spans="1:8" x14ac:dyDescent="0.35">
      <c r="H71" s="24"/>
    </row>
    <row r="72" spans="1:8" x14ac:dyDescent="0.35">
      <c r="H72" s="24"/>
    </row>
    <row r="73" spans="1:8" x14ac:dyDescent="0.35">
      <c r="H73" s="24"/>
    </row>
    <row r="74" spans="1:8" x14ac:dyDescent="0.35">
      <c r="H74" s="24"/>
    </row>
    <row r="75" spans="1:8" x14ac:dyDescent="0.35">
      <c r="H75" s="24"/>
    </row>
    <row r="76" spans="1:8" x14ac:dyDescent="0.35">
      <c r="H76" s="24"/>
    </row>
    <row r="77" spans="1:8" x14ac:dyDescent="0.35">
      <c r="H77" s="24"/>
    </row>
    <row r="78" spans="1:8" x14ac:dyDescent="0.35">
      <c r="H78" s="24"/>
    </row>
    <row r="79" spans="1:8" x14ac:dyDescent="0.35">
      <c r="H79" s="24"/>
    </row>
    <row r="80" spans="1:8" x14ac:dyDescent="0.35">
      <c r="H80" s="24"/>
    </row>
    <row r="81" spans="8:8" x14ac:dyDescent="0.35">
      <c r="H81" s="24"/>
    </row>
    <row r="82" spans="8:8" x14ac:dyDescent="0.35">
      <c r="H82" s="24"/>
    </row>
    <row r="83" spans="8:8" x14ac:dyDescent="0.35">
      <c r="H83" s="24"/>
    </row>
    <row r="84" spans="8:8" x14ac:dyDescent="0.35">
      <c r="H84" s="24"/>
    </row>
    <row r="85" spans="8:8" x14ac:dyDescent="0.35">
      <c r="H85" s="24"/>
    </row>
    <row r="86" spans="8:8" x14ac:dyDescent="0.35">
      <c r="H86" s="24"/>
    </row>
    <row r="87" spans="8:8" x14ac:dyDescent="0.35">
      <c r="H87" s="24"/>
    </row>
    <row r="88" spans="8:8" x14ac:dyDescent="0.35">
      <c r="H88" s="24"/>
    </row>
    <row r="89" spans="8:8" x14ac:dyDescent="0.35">
      <c r="H89" s="24"/>
    </row>
    <row r="90" spans="8:8" x14ac:dyDescent="0.35">
      <c r="H90" s="24"/>
    </row>
    <row r="91" spans="8:8" x14ac:dyDescent="0.35">
      <c r="H91" s="24"/>
    </row>
    <row r="92" spans="8:8" x14ac:dyDescent="0.35">
      <c r="H92" s="24"/>
    </row>
    <row r="93" spans="8:8" x14ac:dyDescent="0.35">
      <c r="H93" s="24"/>
    </row>
    <row r="94" spans="8:8" x14ac:dyDescent="0.35">
      <c r="H94" s="24"/>
    </row>
    <row r="95" spans="8:8" x14ac:dyDescent="0.35">
      <c r="H95" s="24"/>
    </row>
    <row r="96" spans="8:8" x14ac:dyDescent="0.35">
      <c r="H96" s="24"/>
    </row>
    <row r="97" spans="8:8" x14ac:dyDescent="0.35">
      <c r="H97" s="24"/>
    </row>
    <row r="98" spans="8:8" x14ac:dyDescent="0.35">
      <c r="H98" s="24"/>
    </row>
    <row r="99" spans="8:8" x14ac:dyDescent="0.35">
      <c r="H99" s="24"/>
    </row>
    <row r="100" spans="8:8" x14ac:dyDescent="0.35">
      <c r="H100" s="24"/>
    </row>
    <row r="101" spans="8:8" x14ac:dyDescent="0.35">
      <c r="H101" s="24"/>
    </row>
    <row r="102" spans="8:8" x14ac:dyDescent="0.35">
      <c r="H102" s="24"/>
    </row>
    <row r="103" spans="8:8" x14ac:dyDescent="0.35">
      <c r="H103" s="24"/>
    </row>
    <row r="104" spans="8:8" x14ac:dyDescent="0.35">
      <c r="H104" s="24"/>
    </row>
    <row r="105" spans="8:8" x14ac:dyDescent="0.35">
      <c r="H105" s="24"/>
    </row>
    <row r="106" spans="8:8" x14ac:dyDescent="0.35">
      <c r="H106" s="24"/>
    </row>
    <row r="107" spans="8:8" x14ac:dyDescent="0.35">
      <c r="H107" s="24"/>
    </row>
    <row r="108" spans="8:8" x14ac:dyDescent="0.35">
      <c r="H108" s="24"/>
    </row>
    <row r="109" spans="8:8" x14ac:dyDescent="0.35">
      <c r="H109" s="24"/>
    </row>
    <row r="110" spans="8:8" x14ac:dyDescent="0.35">
      <c r="H110" s="24"/>
    </row>
    <row r="111" spans="8:8" x14ac:dyDescent="0.35">
      <c r="H111" s="24"/>
    </row>
    <row r="112" spans="8:8" x14ac:dyDescent="0.35">
      <c r="H112" s="24"/>
    </row>
    <row r="113" spans="8:8" x14ac:dyDescent="0.35">
      <c r="H113" s="24"/>
    </row>
    <row r="114" spans="8:8" x14ac:dyDescent="0.35">
      <c r="H114" s="24"/>
    </row>
    <row r="115" spans="8:8" x14ac:dyDescent="0.35">
      <c r="H115" s="24"/>
    </row>
    <row r="116" spans="8:8" x14ac:dyDescent="0.35">
      <c r="H116" s="24"/>
    </row>
    <row r="117" spans="8:8" x14ac:dyDescent="0.35">
      <c r="H117" s="24"/>
    </row>
    <row r="118" spans="8:8" x14ac:dyDescent="0.35">
      <c r="H118" s="24"/>
    </row>
    <row r="119" spans="8:8" x14ac:dyDescent="0.35">
      <c r="H119" s="24"/>
    </row>
    <row r="120" spans="8:8" x14ac:dyDescent="0.35">
      <c r="H120" s="24"/>
    </row>
    <row r="121" spans="8:8" x14ac:dyDescent="0.35">
      <c r="H121" s="24"/>
    </row>
    <row r="122" spans="8:8" x14ac:dyDescent="0.35">
      <c r="H122" s="24"/>
    </row>
    <row r="123" spans="8:8" x14ac:dyDescent="0.35">
      <c r="H123" s="24"/>
    </row>
    <row r="124" spans="8:8" x14ac:dyDescent="0.35">
      <c r="H124" s="24"/>
    </row>
    <row r="125" spans="8:8" x14ac:dyDescent="0.35">
      <c r="H125" s="24"/>
    </row>
    <row r="126" spans="8:8" x14ac:dyDescent="0.35">
      <c r="H126" s="24"/>
    </row>
    <row r="127" spans="8:8" x14ac:dyDescent="0.35">
      <c r="H127" s="24"/>
    </row>
    <row r="128" spans="8:8" x14ac:dyDescent="0.35">
      <c r="H128" s="24"/>
    </row>
    <row r="129" spans="8:8" x14ac:dyDescent="0.35">
      <c r="H129" s="24"/>
    </row>
    <row r="130" spans="8:8" x14ac:dyDescent="0.35">
      <c r="H130" s="24"/>
    </row>
    <row r="131" spans="8:8" x14ac:dyDescent="0.35">
      <c r="H131" s="24"/>
    </row>
    <row r="132" spans="8:8" x14ac:dyDescent="0.35">
      <c r="H132" s="24"/>
    </row>
    <row r="133" spans="8:8" x14ac:dyDescent="0.35">
      <c r="H133" s="24"/>
    </row>
    <row r="134" spans="8:8" x14ac:dyDescent="0.35">
      <c r="H134" s="24"/>
    </row>
    <row r="135" spans="8:8" x14ac:dyDescent="0.35">
      <c r="H135" s="24"/>
    </row>
    <row r="136" spans="8:8" x14ac:dyDescent="0.35">
      <c r="H136" s="24"/>
    </row>
    <row r="137" spans="8:8" x14ac:dyDescent="0.35">
      <c r="H137" s="24"/>
    </row>
    <row r="138" spans="8:8" x14ac:dyDescent="0.35">
      <c r="H138" s="24"/>
    </row>
    <row r="139" spans="8:8" x14ac:dyDescent="0.35">
      <c r="H139" s="24"/>
    </row>
    <row r="140" spans="8:8" x14ac:dyDescent="0.35">
      <c r="H140" s="24"/>
    </row>
    <row r="141" spans="8:8" x14ac:dyDescent="0.35">
      <c r="H141" s="24"/>
    </row>
    <row r="142" spans="8:8" x14ac:dyDescent="0.35">
      <c r="H142" s="24"/>
    </row>
    <row r="143" spans="8:8" x14ac:dyDescent="0.35">
      <c r="H143" s="24"/>
    </row>
    <row r="144" spans="8:8" x14ac:dyDescent="0.35">
      <c r="H144" s="24"/>
    </row>
    <row r="145" spans="8:8" x14ac:dyDescent="0.35">
      <c r="H145" s="24"/>
    </row>
    <row r="146" spans="8:8" x14ac:dyDescent="0.35">
      <c r="H146" s="24"/>
    </row>
    <row r="147" spans="8:8" x14ac:dyDescent="0.35">
      <c r="H147" s="24"/>
    </row>
    <row r="148" spans="8:8" x14ac:dyDescent="0.35">
      <c r="H148" s="24"/>
    </row>
    <row r="149" spans="8:8" x14ac:dyDescent="0.35">
      <c r="H149" s="24"/>
    </row>
    <row r="150" spans="8:8" x14ac:dyDescent="0.35">
      <c r="H150" s="24"/>
    </row>
    <row r="151" spans="8:8" x14ac:dyDescent="0.35">
      <c r="H151" s="24"/>
    </row>
    <row r="152" spans="8:8" x14ac:dyDescent="0.35">
      <c r="H152" s="24"/>
    </row>
    <row r="153" spans="8:8" x14ac:dyDescent="0.35">
      <c r="H153" s="24"/>
    </row>
    <row r="154" spans="8:8" x14ac:dyDescent="0.35">
      <c r="H154" s="24"/>
    </row>
    <row r="155" spans="8:8" x14ac:dyDescent="0.35">
      <c r="H155" s="24"/>
    </row>
    <row r="156" spans="8:8" x14ac:dyDescent="0.35">
      <c r="H156" s="24"/>
    </row>
    <row r="157" spans="8:8" x14ac:dyDescent="0.35">
      <c r="H157" s="24"/>
    </row>
    <row r="158" spans="8:8" x14ac:dyDescent="0.35">
      <c r="H158" s="24"/>
    </row>
    <row r="159" spans="8:8" x14ac:dyDescent="0.35">
      <c r="H159" s="24"/>
    </row>
    <row r="160" spans="8:8" x14ac:dyDescent="0.35">
      <c r="H160" s="24"/>
    </row>
    <row r="161" spans="8:8" x14ac:dyDescent="0.35">
      <c r="H161" s="24"/>
    </row>
    <row r="162" spans="8:8" x14ac:dyDescent="0.35">
      <c r="H162" s="24"/>
    </row>
    <row r="163" spans="8:8" x14ac:dyDescent="0.35">
      <c r="H163" s="24"/>
    </row>
    <row r="164" spans="8:8" x14ac:dyDescent="0.35">
      <c r="H164" s="24"/>
    </row>
    <row r="165" spans="8:8" x14ac:dyDescent="0.35">
      <c r="H165" s="24"/>
    </row>
    <row r="166" spans="8:8" x14ac:dyDescent="0.35">
      <c r="H166" s="24"/>
    </row>
    <row r="167" spans="8:8" x14ac:dyDescent="0.35">
      <c r="H167" s="24"/>
    </row>
    <row r="168" spans="8:8" x14ac:dyDescent="0.35">
      <c r="H168" s="24"/>
    </row>
    <row r="169" spans="8:8" x14ac:dyDescent="0.35">
      <c r="H169" s="24"/>
    </row>
    <row r="170" spans="8:8" x14ac:dyDescent="0.35">
      <c r="H170" s="24"/>
    </row>
    <row r="171" spans="8:8" x14ac:dyDescent="0.35">
      <c r="H171" s="24"/>
    </row>
    <row r="172" spans="8:8" x14ac:dyDescent="0.35">
      <c r="H172" s="24"/>
    </row>
    <row r="173" spans="8:8" x14ac:dyDescent="0.35">
      <c r="H173" s="24"/>
    </row>
    <row r="174" spans="8:8" x14ac:dyDescent="0.35">
      <c r="H174" s="24"/>
    </row>
    <row r="175" spans="8:8" x14ac:dyDescent="0.35">
      <c r="H175" s="24"/>
    </row>
    <row r="176" spans="8:8" x14ac:dyDescent="0.35">
      <c r="H176" s="24"/>
    </row>
    <row r="177" spans="8:8" x14ac:dyDescent="0.35">
      <c r="H177" s="24"/>
    </row>
    <row r="178" spans="8:8" x14ac:dyDescent="0.35">
      <c r="H178" s="24"/>
    </row>
    <row r="179" spans="8:8" x14ac:dyDescent="0.35">
      <c r="H179" s="24"/>
    </row>
    <row r="180" spans="8:8" x14ac:dyDescent="0.35">
      <c r="H180" s="24"/>
    </row>
    <row r="181" spans="8:8" x14ac:dyDescent="0.35">
      <c r="H181" s="24"/>
    </row>
    <row r="182" spans="8:8" x14ac:dyDescent="0.35">
      <c r="H182" s="24"/>
    </row>
    <row r="183" spans="8:8" x14ac:dyDescent="0.35">
      <c r="H183" s="24"/>
    </row>
    <row r="184" spans="8:8" x14ac:dyDescent="0.35">
      <c r="H184" s="24"/>
    </row>
    <row r="185" spans="8:8" x14ac:dyDescent="0.35">
      <c r="H185" s="24"/>
    </row>
    <row r="186" spans="8:8" x14ac:dyDescent="0.35">
      <c r="H186" s="24"/>
    </row>
    <row r="187" spans="8:8" x14ac:dyDescent="0.35">
      <c r="H187" s="24"/>
    </row>
    <row r="188" spans="8:8" x14ac:dyDescent="0.35">
      <c r="H188" s="24"/>
    </row>
    <row r="189" spans="8:8" x14ac:dyDescent="0.35">
      <c r="H189" s="24"/>
    </row>
    <row r="190" spans="8:8" x14ac:dyDescent="0.35">
      <c r="H190" s="24"/>
    </row>
    <row r="191" spans="8:8" x14ac:dyDescent="0.35">
      <c r="H191" s="24"/>
    </row>
    <row r="192" spans="8:8" x14ac:dyDescent="0.35">
      <c r="H192" s="24"/>
    </row>
    <row r="193" spans="8:8" x14ac:dyDescent="0.35">
      <c r="H193" s="24"/>
    </row>
    <row r="194" spans="8:8" x14ac:dyDescent="0.35">
      <c r="H194" s="24"/>
    </row>
    <row r="195" spans="8:8" x14ac:dyDescent="0.35">
      <c r="H195" s="24"/>
    </row>
    <row r="196" spans="8:8" x14ac:dyDescent="0.35">
      <c r="H196" s="24"/>
    </row>
    <row r="197" spans="8:8" x14ac:dyDescent="0.35">
      <c r="H197" s="24"/>
    </row>
    <row r="198" spans="8:8" x14ac:dyDescent="0.35">
      <c r="H198" s="24"/>
    </row>
    <row r="199" spans="8:8" x14ac:dyDescent="0.35">
      <c r="H199" s="24"/>
    </row>
    <row r="200" spans="8:8" x14ac:dyDescent="0.35">
      <c r="H200" s="24"/>
    </row>
    <row r="201" spans="8:8" x14ac:dyDescent="0.35">
      <c r="H201" s="24"/>
    </row>
    <row r="202" spans="8:8" x14ac:dyDescent="0.35">
      <c r="H202" s="24"/>
    </row>
    <row r="203" spans="8:8" x14ac:dyDescent="0.35">
      <c r="H203" s="24"/>
    </row>
    <row r="204" spans="8:8" x14ac:dyDescent="0.35">
      <c r="H204" s="24"/>
    </row>
    <row r="205" spans="8:8" x14ac:dyDescent="0.35">
      <c r="H205" s="24"/>
    </row>
    <row r="206" spans="8:8" x14ac:dyDescent="0.35">
      <c r="H206" s="24"/>
    </row>
    <row r="207" spans="8:8" x14ac:dyDescent="0.35">
      <c r="H207" s="24"/>
    </row>
    <row r="208" spans="8:8" x14ac:dyDescent="0.35">
      <c r="H208" s="24"/>
    </row>
    <row r="209" spans="8:8" x14ac:dyDescent="0.35">
      <c r="H209" s="24"/>
    </row>
    <row r="210" spans="8:8" x14ac:dyDescent="0.35">
      <c r="H210" s="24"/>
    </row>
    <row r="211" spans="8:8" x14ac:dyDescent="0.35">
      <c r="H211" s="24"/>
    </row>
    <row r="212" spans="8:8" x14ac:dyDescent="0.35">
      <c r="H212" s="24"/>
    </row>
    <row r="213" spans="8:8" x14ac:dyDescent="0.35">
      <c r="H213" s="24"/>
    </row>
    <row r="214" spans="8:8" x14ac:dyDescent="0.35">
      <c r="H214" s="24"/>
    </row>
    <row r="215" spans="8:8" x14ac:dyDescent="0.35">
      <c r="H215" s="24"/>
    </row>
    <row r="216" spans="8:8" x14ac:dyDescent="0.35">
      <c r="H216" s="24"/>
    </row>
    <row r="217" spans="8:8" x14ac:dyDescent="0.35">
      <c r="H217" s="24"/>
    </row>
    <row r="218" spans="8:8" x14ac:dyDescent="0.35">
      <c r="H218" s="24"/>
    </row>
    <row r="219" spans="8:8" x14ac:dyDescent="0.35">
      <c r="H219" s="24"/>
    </row>
    <row r="220" spans="8:8" x14ac:dyDescent="0.35">
      <c r="H220" s="24"/>
    </row>
    <row r="221" spans="8:8" x14ac:dyDescent="0.35">
      <c r="H221" s="24"/>
    </row>
    <row r="222" spans="8:8" x14ac:dyDescent="0.35">
      <c r="H222" s="24"/>
    </row>
    <row r="223" spans="8:8" x14ac:dyDescent="0.35">
      <c r="H223" s="24"/>
    </row>
    <row r="224" spans="8:8" x14ac:dyDescent="0.35">
      <c r="H224" s="24"/>
    </row>
    <row r="225" spans="8:8" x14ac:dyDescent="0.35">
      <c r="H225" s="24"/>
    </row>
    <row r="226" spans="8:8" x14ac:dyDescent="0.35">
      <c r="H226" s="24"/>
    </row>
    <row r="227" spans="8:8" x14ac:dyDescent="0.35">
      <c r="H227" s="24"/>
    </row>
    <row r="228" spans="8:8" x14ac:dyDescent="0.35">
      <c r="H228" s="24"/>
    </row>
    <row r="229" spans="8:8" x14ac:dyDescent="0.35">
      <c r="H229" s="24"/>
    </row>
    <row r="230" spans="8:8" x14ac:dyDescent="0.35">
      <c r="H230" s="24"/>
    </row>
    <row r="231" spans="8:8" x14ac:dyDescent="0.35">
      <c r="H231" s="24"/>
    </row>
    <row r="232" spans="8:8" x14ac:dyDescent="0.35">
      <c r="H232" s="24"/>
    </row>
    <row r="233" spans="8:8" x14ac:dyDescent="0.35">
      <c r="H233" s="24"/>
    </row>
    <row r="234" spans="8:8" x14ac:dyDescent="0.35">
      <c r="H234" s="24"/>
    </row>
    <row r="235" spans="8:8" x14ac:dyDescent="0.35">
      <c r="H235" s="24"/>
    </row>
    <row r="236" spans="8:8" x14ac:dyDescent="0.35">
      <c r="H236" s="24"/>
    </row>
    <row r="237" spans="8:8" x14ac:dyDescent="0.35">
      <c r="H237" s="24"/>
    </row>
    <row r="238" spans="8:8" x14ac:dyDescent="0.35">
      <c r="H238" s="24"/>
    </row>
    <row r="239" spans="8:8" x14ac:dyDescent="0.35">
      <c r="H239" s="24"/>
    </row>
    <row r="240" spans="8:8" x14ac:dyDescent="0.35">
      <c r="H240" s="24"/>
    </row>
    <row r="241" spans="8:8" x14ac:dyDescent="0.35">
      <c r="H241" s="24"/>
    </row>
    <row r="242" spans="8:8" x14ac:dyDescent="0.35">
      <c r="H242" s="24"/>
    </row>
    <row r="243" spans="8:8" x14ac:dyDescent="0.35">
      <c r="H243" s="24"/>
    </row>
    <row r="244" spans="8:8" x14ac:dyDescent="0.35">
      <c r="H244" s="24"/>
    </row>
    <row r="245" spans="8:8" x14ac:dyDescent="0.35">
      <c r="H245" s="24"/>
    </row>
    <row r="246" spans="8:8" x14ac:dyDescent="0.35">
      <c r="H246" s="24"/>
    </row>
    <row r="247" spans="8:8" x14ac:dyDescent="0.35">
      <c r="H247" s="24"/>
    </row>
    <row r="248" spans="8:8" x14ac:dyDescent="0.35">
      <c r="H248" s="24"/>
    </row>
    <row r="249" spans="8:8" x14ac:dyDescent="0.35">
      <c r="H249" s="24"/>
    </row>
    <row r="250" spans="8:8" x14ac:dyDescent="0.35">
      <c r="H250" s="24"/>
    </row>
    <row r="251" spans="8:8" x14ac:dyDescent="0.35">
      <c r="H251" s="24"/>
    </row>
    <row r="252" spans="8:8" x14ac:dyDescent="0.35">
      <c r="H252" s="24"/>
    </row>
    <row r="253" spans="8:8" x14ac:dyDescent="0.35">
      <c r="H253" s="24"/>
    </row>
    <row r="254" spans="8:8" x14ac:dyDescent="0.35">
      <c r="H254" s="24"/>
    </row>
    <row r="255" spans="8:8" x14ac:dyDescent="0.35">
      <c r="H255" s="24"/>
    </row>
    <row r="256" spans="8:8" x14ac:dyDescent="0.35">
      <c r="H256" s="24"/>
    </row>
    <row r="257" spans="8:8" x14ac:dyDescent="0.35">
      <c r="H257" s="24"/>
    </row>
    <row r="258" spans="8:8" x14ac:dyDescent="0.35">
      <c r="H258" s="24"/>
    </row>
    <row r="259" spans="8:8" x14ac:dyDescent="0.35">
      <c r="H259" s="24"/>
    </row>
    <row r="260" spans="8:8" x14ac:dyDescent="0.35">
      <c r="H260" s="24"/>
    </row>
    <row r="261" spans="8:8" x14ac:dyDescent="0.35">
      <c r="H261" s="24"/>
    </row>
    <row r="262" spans="8:8" x14ac:dyDescent="0.35">
      <c r="H262" s="24"/>
    </row>
    <row r="263" spans="8:8" x14ac:dyDescent="0.35">
      <c r="H263" s="24"/>
    </row>
    <row r="264" spans="8:8" x14ac:dyDescent="0.35">
      <c r="H264" s="24"/>
    </row>
    <row r="265" spans="8:8" x14ac:dyDescent="0.35">
      <c r="H265" s="24"/>
    </row>
    <row r="266" spans="8:8" x14ac:dyDescent="0.35">
      <c r="H266" s="24"/>
    </row>
    <row r="267" spans="8:8" x14ac:dyDescent="0.35">
      <c r="H267" s="24"/>
    </row>
    <row r="268" spans="8:8" x14ac:dyDescent="0.35">
      <c r="H268" s="24"/>
    </row>
    <row r="269" spans="8:8" x14ac:dyDescent="0.35">
      <c r="H269" s="24"/>
    </row>
    <row r="270" spans="8:8" x14ac:dyDescent="0.35">
      <c r="H270" s="24"/>
    </row>
    <row r="271" spans="8:8" x14ac:dyDescent="0.35">
      <c r="H271" s="24"/>
    </row>
    <row r="272" spans="8:8" x14ac:dyDescent="0.35">
      <c r="H272" s="24"/>
    </row>
    <row r="273" spans="8:8" x14ac:dyDescent="0.35">
      <c r="H273" s="24"/>
    </row>
    <row r="274" spans="8:8" x14ac:dyDescent="0.35">
      <c r="H274" s="24"/>
    </row>
    <row r="275" spans="8:8" x14ac:dyDescent="0.35">
      <c r="H275" s="24"/>
    </row>
    <row r="276" spans="8:8" x14ac:dyDescent="0.35">
      <c r="H276" s="24"/>
    </row>
    <row r="277" spans="8:8" x14ac:dyDescent="0.35">
      <c r="H277" s="24"/>
    </row>
    <row r="278" spans="8:8" x14ac:dyDescent="0.35">
      <c r="H278" s="24"/>
    </row>
    <row r="279" spans="8:8" x14ac:dyDescent="0.35">
      <c r="H279" s="24"/>
    </row>
    <row r="280" spans="8:8" x14ac:dyDescent="0.35">
      <c r="H280" s="24"/>
    </row>
    <row r="281" spans="8:8" x14ac:dyDescent="0.35">
      <c r="H281" s="24"/>
    </row>
    <row r="282" spans="8:8" x14ac:dyDescent="0.35">
      <c r="H282" s="24"/>
    </row>
    <row r="283" spans="8:8" x14ac:dyDescent="0.35">
      <c r="H283" s="24"/>
    </row>
    <row r="284" spans="8:8" x14ac:dyDescent="0.35">
      <c r="H284" s="24"/>
    </row>
    <row r="285" spans="8:8" x14ac:dyDescent="0.35">
      <c r="H285" s="24"/>
    </row>
    <row r="286" spans="8:8" x14ac:dyDescent="0.35">
      <c r="H286" s="24"/>
    </row>
    <row r="287" spans="8:8" x14ac:dyDescent="0.35">
      <c r="H287" s="24"/>
    </row>
    <row r="288" spans="8:8" x14ac:dyDescent="0.35">
      <c r="H288" s="24"/>
    </row>
    <row r="289" spans="8:8" x14ac:dyDescent="0.35">
      <c r="H289" s="24"/>
    </row>
    <row r="290" spans="8:8" x14ac:dyDescent="0.35">
      <c r="H290" s="24"/>
    </row>
    <row r="291" spans="8:8" x14ac:dyDescent="0.35">
      <c r="H291" s="24"/>
    </row>
    <row r="292" spans="8:8" x14ac:dyDescent="0.35">
      <c r="H292" s="24"/>
    </row>
    <row r="293" spans="8:8" x14ac:dyDescent="0.35">
      <c r="H293" s="24"/>
    </row>
    <row r="294" spans="8:8" x14ac:dyDescent="0.35">
      <c r="H294" s="24"/>
    </row>
    <row r="295" spans="8:8" x14ac:dyDescent="0.35">
      <c r="H295" s="24"/>
    </row>
    <row r="296" spans="8:8" x14ac:dyDescent="0.35">
      <c r="H296" s="24"/>
    </row>
    <row r="297" spans="8:8" x14ac:dyDescent="0.35">
      <c r="H297" s="24"/>
    </row>
    <row r="298" spans="8:8" x14ac:dyDescent="0.35">
      <c r="H298" s="24"/>
    </row>
    <row r="299" spans="8:8" x14ac:dyDescent="0.35">
      <c r="H299" s="24"/>
    </row>
    <row r="300" spans="8:8" x14ac:dyDescent="0.35">
      <c r="H300" s="24"/>
    </row>
    <row r="301" spans="8:8" x14ac:dyDescent="0.35">
      <c r="H301" s="24"/>
    </row>
    <row r="302" spans="8:8" x14ac:dyDescent="0.35">
      <c r="H302" s="24"/>
    </row>
    <row r="303" spans="8:8" x14ac:dyDescent="0.35">
      <c r="H303" s="24"/>
    </row>
    <row r="304" spans="8:8" x14ac:dyDescent="0.35">
      <c r="H304" s="24"/>
    </row>
    <row r="305" spans="8:8" x14ac:dyDescent="0.35">
      <c r="H305" s="24"/>
    </row>
    <row r="306" spans="8:8" x14ac:dyDescent="0.35">
      <c r="H306" s="24"/>
    </row>
    <row r="307" spans="8:8" x14ac:dyDescent="0.35">
      <c r="H307" s="24"/>
    </row>
    <row r="308" spans="8:8" x14ac:dyDescent="0.35">
      <c r="H308" s="24"/>
    </row>
    <row r="309" spans="8:8" x14ac:dyDescent="0.35">
      <c r="H309" s="24"/>
    </row>
    <row r="310" spans="8:8" x14ac:dyDescent="0.35">
      <c r="H310" s="24"/>
    </row>
    <row r="311" spans="8:8" x14ac:dyDescent="0.35">
      <c r="H311" s="24"/>
    </row>
    <row r="312" spans="8:8" x14ac:dyDescent="0.35">
      <c r="H312" s="24"/>
    </row>
    <row r="313" spans="8:8" x14ac:dyDescent="0.35">
      <c r="H313" s="24"/>
    </row>
    <row r="314" spans="8:8" x14ac:dyDescent="0.35">
      <c r="H314" s="24"/>
    </row>
    <row r="315" spans="8:8" x14ac:dyDescent="0.35">
      <c r="H315" s="24"/>
    </row>
    <row r="316" spans="8:8" x14ac:dyDescent="0.35">
      <c r="H316" s="24"/>
    </row>
    <row r="317" spans="8:8" x14ac:dyDescent="0.35">
      <c r="H317" s="24"/>
    </row>
    <row r="318" spans="8:8" x14ac:dyDescent="0.35">
      <c r="H318" s="24"/>
    </row>
    <row r="319" spans="8:8" x14ac:dyDescent="0.35">
      <c r="H319" s="24"/>
    </row>
    <row r="320" spans="8:8" x14ac:dyDescent="0.35">
      <c r="H320" s="24"/>
    </row>
    <row r="321" spans="8:8" x14ac:dyDescent="0.35">
      <c r="H321" s="24"/>
    </row>
    <row r="322" spans="8:8" x14ac:dyDescent="0.35">
      <c r="H322" s="24"/>
    </row>
    <row r="323" spans="8:8" x14ac:dyDescent="0.35">
      <c r="H323" s="24"/>
    </row>
    <row r="324" spans="8:8" x14ac:dyDescent="0.35">
      <c r="H324" s="24"/>
    </row>
    <row r="325" spans="8:8" x14ac:dyDescent="0.35">
      <c r="H325" s="24"/>
    </row>
    <row r="326" spans="8:8" x14ac:dyDescent="0.35">
      <c r="H326" s="24"/>
    </row>
    <row r="327" spans="8:8" x14ac:dyDescent="0.35">
      <c r="H327" s="24"/>
    </row>
    <row r="328" spans="8:8" x14ac:dyDescent="0.35">
      <c r="H328" s="24"/>
    </row>
    <row r="329" spans="8:8" x14ac:dyDescent="0.35">
      <c r="H329" s="24"/>
    </row>
    <row r="330" spans="8:8" x14ac:dyDescent="0.35">
      <c r="H330" s="24"/>
    </row>
    <row r="331" spans="8:8" x14ac:dyDescent="0.35">
      <c r="H331" s="24"/>
    </row>
    <row r="332" spans="8:8" x14ac:dyDescent="0.35">
      <c r="H332" s="24"/>
    </row>
    <row r="333" spans="8:8" x14ac:dyDescent="0.35">
      <c r="H333" s="24"/>
    </row>
    <row r="334" spans="8:8" x14ac:dyDescent="0.35">
      <c r="H334" s="24"/>
    </row>
    <row r="335" spans="8:8" x14ac:dyDescent="0.35">
      <c r="H335" s="24"/>
    </row>
    <row r="336" spans="8:8" x14ac:dyDescent="0.35">
      <c r="H336" s="24"/>
    </row>
    <row r="337" spans="8:8" x14ac:dyDescent="0.35">
      <c r="H337" s="24"/>
    </row>
    <row r="338" spans="8:8" x14ac:dyDescent="0.35">
      <c r="H338" s="24"/>
    </row>
    <row r="339" spans="8:8" x14ac:dyDescent="0.35">
      <c r="H339" s="24"/>
    </row>
    <row r="340" spans="8:8" x14ac:dyDescent="0.35">
      <c r="H340" s="24"/>
    </row>
    <row r="341" spans="8:8" x14ac:dyDescent="0.35">
      <c r="H341" s="24"/>
    </row>
    <row r="342" spans="8:8" x14ac:dyDescent="0.35">
      <c r="H342" s="24"/>
    </row>
    <row r="343" spans="8:8" x14ac:dyDescent="0.35">
      <c r="H343" s="24"/>
    </row>
    <row r="344" spans="8:8" x14ac:dyDescent="0.35">
      <c r="H344" s="24"/>
    </row>
    <row r="345" spans="8:8" x14ac:dyDescent="0.35">
      <c r="H345" s="24"/>
    </row>
    <row r="346" spans="8:8" x14ac:dyDescent="0.35">
      <c r="H346" s="24"/>
    </row>
    <row r="347" spans="8:8" x14ac:dyDescent="0.35">
      <c r="H347" s="24"/>
    </row>
    <row r="348" spans="8:8" x14ac:dyDescent="0.35">
      <c r="H348" s="24"/>
    </row>
    <row r="349" spans="8:8" x14ac:dyDescent="0.35">
      <c r="H349" s="24"/>
    </row>
    <row r="350" spans="8:8" x14ac:dyDescent="0.35">
      <c r="H350" s="24"/>
    </row>
    <row r="351" spans="8:8" x14ac:dyDescent="0.35">
      <c r="H351" s="24"/>
    </row>
    <row r="352" spans="8:8" x14ac:dyDescent="0.35">
      <c r="H352" s="24"/>
    </row>
    <row r="353" spans="8:8" x14ac:dyDescent="0.35">
      <c r="H353" s="24"/>
    </row>
    <row r="354" spans="8:8" x14ac:dyDescent="0.35">
      <c r="H354" s="24"/>
    </row>
    <row r="355" spans="8:8" x14ac:dyDescent="0.35">
      <c r="H355" s="24"/>
    </row>
    <row r="356" spans="8:8" x14ac:dyDescent="0.35">
      <c r="H356" s="24"/>
    </row>
    <row r="357" spans="8:8" x14ac:dyDescent="0.35">
      <c r="H357" s="24"/>
    </row>
    <row r="358" spans="8:8" x14ac:dyDescent="0.35">
      <c r="H358" s="24"/>
    </row>
    <row r="359" spans="8:8" x14ac:dyDescent="0.35">
      <c r="H359" s="24"/>
    </row>
    <row r="360" spans="8:8" x14ac:dyDescent="0.35">
      <c r="H360" s="24"/>
    </row>
    <row r="361" spans="8:8" x14ac:dyDescent="0.35">
      <c r="H361" s="24"/>
    </row>
    <row r="362" spans="8:8" x14ac:dyDescent="0.35">
      <c r="H362" s="24"/>
    </row>
    <row r="363" spans="8:8" x14ac:dyDescent="0.35">
      <c r="H363" s="24"/>
    </row>
    <row r="364" spans="8:8" x14ac:dyDescent="0.35">
      <c r="H364" s="24"/>
    </row>
    <row r="365" spans="8:8" x14ac:dyDescent="0.35">
      <c r="H365" s="24"/>
    </row>
    <row r="366" spans="8:8" x14ac:dyDescent="0.35">
      <c r="H366" s="24"/>
    </row>
    <row r="367" spans="8:8" x14ac:dyDescent="0.35">
      <c r="H367" s="24"/>
    </row>
    <row r="368" spans="8:8" x14ac:dyDescent="0.35">
      <c r="H368" s="24"/>
    </row>
    <row r="369" spans="8:8" x14ac:dyDescent="0.35">
      <c r="H369" s="24"/>
    </row>
    <row r="370" spans="8:8" x14ac:dyDescent="0.35">
      <c r="H370" s="24"/>
    </row>
    <row r="371" spans="8:8" x14ac:dyDescent="0.35">
      <c r="H371" s="24"/>
    </row>
    <row r="372" spans="8:8" x14ac:dyDescent="0.35">
      <c r="H372" s="24"/>
    </row>
    <row r="373" spans="8:8" x14ac:dyDescent="0.35">
      <c r="H373" s="24"/>
    </row>
    <row r="374" spans="8:8" x14ac:dyDescent="0.35">
      <c r="H374" s="24"/>
    </row>
    <row r="375" spans="8:8" x14ac:dyDescent="0.35">
      <c r="H375" s="24"/>
    </row>
    <row r="376" spans="8:8" x14ac:dyDescent="0.35">
      <c r="H376" s="24"/>
    </row>
    <row r="377" spans="8:8" x14ac:dyDescent="0.35">
      <c r="H377" s="24"/>
    </row>
    <row r="378" spans="8:8" x14ac:dyDescent="0.35">
      <c r="H378" s="24"/>
    </row>
    <row r="379" spans="8:8" x14ac:dyDescent="0.35">
      <c r="H379" s="24"/>
    </row>
    <row r="380" spans="8:8" x14ac:dyDescent="0.35">
      <c r="H380" s="24"/>
    </row>
    <row r="381" spans="8:8" x14ac:dyDescent="0.35">
      <c r="H381" s="24"/>
    </row>
    <row r="382" spans="8:8" x14ac:dyDescent="0.35">
      <c r="H382" s="24"/>
    </row>
    <row r="383" spans="8:8" x14ac:dyDescent="0.35">
      <c r="H383" s="24"/>
    </row>
    <row r="384" spans="8:8" x14ac:dyDescent="0.35">
      <c r="H384" s="24"/>
    </row>
    <row r="385" spans="8:8" x14ac:dyDescent="0.35">
      <c r="H385" s="24"/>
    </row>
    <row r="386" spans="8:8" x14ac:dyDescent="0.35">
      <c r="H386" s="24"/>
    </row>
    <row r="387" spans="8:8" x14ac:dyDescent="0.35">
      <c r="H387" s="24"/>
    </row>
    <row r="388" spans="8:8" x14ac:dyDescent="0.35">
      <c r="H388" s="24"/>
    </row>
    <row r="389" spans="8:8" x14ac:dyDescent="0.35">
      <c r="H389" s="24"/>
    </row>
    <row r="390" spans="8:8" x14ac:dyDescent="0.35">
      <c r="H390" s="24"/>
    </row>
    <row r="391" spans="8:8" x14ac:dyDescent="0.35">
      <c r="H391" s="24"/>
    </row>
    <row r="392" spans="8:8" x14ac:dyDescent="0.35">
      <c r="H392" s="24"/>
    </row>
    <row r="393" spans="8:8" x14ac:dyDescent="0.35">
      <c r="H393" s="24"/>
    </row>
    <row r="394" spans="8:8" x14ac:dyDescent="0.35">
      <c r="H394" s="24"/>
    </row>
    <row r="395" spans="8:8" x14ac:dyDescent="0.35">
      <c r="H395" s="24"/>
    </row>
    <row r="396" spans="8:8" x14ac:dyDescent="0.35">
      <c r="H396" s="24"/>
    </row>
    <row r="397" spans="8:8" x14ac:dyDescent="0.35">
      <c r="H397" s="24"/>
    </row>
    <row r="398" spans="8:8" x14ac:dyDescent="0.35">
      <c r="H398" s="24"/>
    </row>
    <row r="399" spans="8:8" x14ac:dyDescent="0.35">
      <c r="H399" s="24"/>
    </row>
    <row r="400" spans="8:8" x14ac:dyDescent="0.35">
      <c r="H400" s="24"/>
    </row>
    <row r="401" spans="8:8" x14ac:dyDescent="0.35">
      <c r="H401" s="24"/>
    </row>
    <row r="402" spans="8:8" x14ac:dyDescent="0.35">
      <c r="H402" s="24"/>
    </row>
    <row r="403" spans="8:8" x14ac:dyDescent="0.35">
      <c r="H403" s="24"/>
    </row>
    <row r="404" spans="8:8" x14ac:dyDescent="0.35">
      <c r="H404" s="24"/>
    </row>
    <row r="405" spans="8:8" x14ac:dyDescent="0.35">
      <c r="H405" s="24"/>
    </row>
    <row r="406" spans="8:8" x14ac:dyDescent="0.35">
      <c r="H406" s="24"/>
    </row>
    <row r="407" spans="8:8" x14ac:dyDescent="0.35">
      <c r="H407" s="24"/>
    </row>
    <row r="408" spans="8:8" x14ac:dyDescent="0.35">
      <c r="H408" s="24"/>
    </row>
    <row r="409" spans="8:8" x14ac:dyDescent="0.35">
      <c r="H409" s="24"/>
    </row>
    <row r="410" spans="8:8" x14ac:dyDescent="0.35">
      <c r="H410" s="24"/>
    </row>
    <row r="411" spans="8:8" x14ac:dyDescent="0.35">
      <c r="H411" s="24"/>
    </row>
    <row r="412" spans="8:8" x14ac:dyDescent="0.35">
      <c r="H412" s="24"/>
    </row>
    <row r="413" spans="8:8" x14ac:dyDescent="0.35">
      <c r="H413" s="24"/>
    </row>
    <row r="414" spans="8:8" x14ac:dyDescent="0.35">
      <c r="H414" s="24"/>
    </row>
    <row r="415" spans="8:8" x14ac:dyDescent="0.35">
      <c r="H415" s="24"/>
    </row>
    <row r="416" spans="8:8" x14ac:dyDescent="0.35">
      <c r="H416" s="24"/>
    </row>
    <row r="417" spans="8:8" x14ac:dyDescent="0.35">
      <c r="H417" s="24"/>
    </row>
    <row r="418" spans="8:8" x14ac:dyDescent="0.35">
      <c r="H418" s="24"/>
    </row>
    <row r="419" spans="8:8" x14ac:dyDescent="0.35">
      <c r="H419" s="24"/>
    </row>
    <row r="420" spans="8:8" x14ac:dyDescent="0.35">
      <c r="H420" s="24"/>
    </row>
    <row r="421" spans="8:8" x14ac:dyDescent="0.35">
      <c r="H421" s="24"/>
    </row>
    <row r="422" spans="8:8" x14ac:dyDescent="0.35">
      <c r="H422" s="24"/>
    </row>
    <row r="423" spans="8:8" x14ac:dyDescent="0.35">
      <c r="H423" s="24"/>
    </row>
    <row r="424" spans="8:8" x14ac:dyDescent="0.35">
      <c r="H424" s="24"/>
    </row>
    <row r="425" spans="8:8" x14ac:dyDescent="0.35">
      <c r="H425" s="24"/>
    </row>
    <row r="426" spans="8:8" x14ac:dyDescent="0.35">
      <c r="H426" s="24"/>
    </row>
    <row r="427" spans="8:8" x14ac:dyDescent="0.35">
      <c r="H427" s="24"/>
    </row>
    <row r="428" spans="8:8" x14ac:dyDescent="0.35">
      <c r="H428" s="24"/>
    </row>
    <row r="429" spans="8:8" x14ac:dyDescent="0.35">
      <c r="H429" s="24"/>
    </row>
    <row r="430" spans="8:8" x14ac:dyDescent="0.35">
      <c r="H430" s="24"/>
    </row>
    <row r="431" spans="8:8" x14ac:dyDescent="0.35">
      <c r="H431" s="24"/>
    </row>
    <row r="432" spans="8:8" x14ac:dyDescent="0.35">
      <c r="H432" s="24"/>
    </row>
    <row r="433" spans="8:8" x14ac:dyDescent="0.35">
      <c r="H433" s="24"/>
    </row>
    <row r="434" spans="8:8" x14ac:dyDescent="0.35">
      <c r="H434" s="24"/>
    </row>
    <row r="435" spans="8:8" x14ac:dyDescent="0.35">
      <c r="H435" s="24"/>
    </row>
    <row r="436" spans="8:8" x14ac:dyDescent="0.35">
      <c r="H436" s="24"/>
    </row>
    <row r="437" spans="8:8" x14ac:dyDescent="0.35">
      <c r="H437" s="24"/>
    </row>
    <row r="438" spans="8:8" x14ac:dyDescent="0.35">
      <c r="H438" s="24"/>
    </row>
    <row r="439" spans="8:8" x14ac:dyDescent="0.35">
      <c r="H439" s="24"/>
    </row>
    <row r="440" spans="8:8" x14ac:dyDescent="0.35">
      <c r="H440" s="24"/>
    </row>
    <row r="441" spans="8:8" x14ac:dyDescent="0.35">
      <c r="H441" s="24"/>
    </row>
    <row r="442" spans="8:8" x14ac:dyDescent="0.35">
      <c r="H442" s="24"/>
    </row>
    <row r="443" spans="8:8" x14ac:dyDescent="0.35">
      <c r="H443" s="24"/>
    </row>
    <row r="444" spans="8:8" x14ac:dyDescent="0.35">
      <c r="H444" s="24"/>
    </row>
    <row r="445" spans="8:8" x14ac:dyDescent="0.35">
      <c r="H445" s="24"/>
    </row>
    <row r="446" spans="8:8" x14ac:dyDescent="0.35">
      <c r="H446" s="24"/>
    </row>
    <row r="447" spans="8:8" x14ac:dyDescent="0.35">
      <c r="H447" s="24"/>
    </row>
    <row r="448" spans="8:8" x14ac:dyDescent="0.35">
      <c r="H448" s="24"/>
    </row>
    <row r="449" spans="8:8" x14ac:dyDescent="0.35">
      <c r="H449" s="24"/>
    </row>
    <row r="450" spans="8:8" x14ac:dyDescent="0.35">
      <c r="H450" s="24"/>
    </row>
    <row r="451" spans="8:8" x14ac:dyDescent="0.35">
      <c r="H451" s="24"/>
    </row>
    <row r="452" spans="8:8" x14ac:dyDescent="0.35">
      <c r="H452" s="24"/>
    </row>
    <row r="453" spans="8:8" x14ac:dyDescent="0.35">
      <c r="H453" s="24"/>
    </row>
    <row r="454" spans="8:8" x14ac:dyDescent="0.35">
      <c r="H454" s="24"/>
    </row>
    <row r="455" spans="8:8" x14ac:dyDescent="0.35">
      <c r="H455" s="24"/>
    </row>
    <row r="456" spans="8:8" x14ac:dyDescent="0.35">
      <c r="H456" s="24"/>
    </row>
    <row r="457" spans="8:8" x14ac:dyDescent="0.35">
      <c r="H457" s="24"/>
    </row>
    <row r="458" spans="8:8" x14ac:dyDescent="0.35">
      <c r="H458" s="24"/>
    </row>
    <row r="459" spans="8:8" x14ac:dyDescent="0.35">
      <c r="H459" s="24"/>
    </row>
    <row r="460" spans="8:8" x14ac:dyDescent="0.35">
      <c r="H460" s="24"/>
    </row>
    <row r="461" spans="8:8" x14ac:dyDescent="0.35">
      <c r="H461" s="24"/>
    </row>
    <row r="462" spans="8:8" x14ac:dyDescent="0.35">
      <c r="H462" s="24"/>
    </row>
    <row r="463" spans="8:8" x14ac:dyDescent="0.35">
      <c r="H463" s="24"/>
    </row>
    <row r="464" spans="8:8" x14ac:dyDescent="0.35">
      <c r="H464" s="24"/>
    </row>
    <row r="465" spans="8:8" x14ac:dyDescent="0.35">
      <c r="H465" s="24"/>
    </row>
    <row r="466" spans="8:8" x14ac:dyDescent="0.35">
      <c r="H466" s="24"/>
    </row>
    <row r="467" spans="8:8" x14ac:dyDescent="0.35">
      <c r="H467" s="24"/>
    </row>
    <row r="468" spans="8:8" x14ac:dyDescent="0.35">
      <c r="H468" s="24"/>
    </row>
    <row r="469" spans="8:8" x14ac:dyDescent="0.35">
      <c r="H469" s="24"/>
    </row>
    <row r="470" spans="8:8" x14ac:dyDescent="0.35">
      <c r="H470" s="24"/>
    </row>
    <row r="471" spans="8:8" x14ac:dyDescent="0.35">
      <c r="H471" s="24"/>
    </row>
    <row r="472" spans="8:8" x14ac:dyDescent="0.35">
      <c r="H472" s="24"/>
    </row>
    <row r="473" spans="8:8" x14ac:dyDescent="0.35">
      <c r="H473" s="24"/>
    </row>
    <row r="474" spans="8:8" x14ac:dyDescent="0.35">
      <c r="H474" s="24"/>
    </row>
    <row r="475" spans="8:8" x14ac:dyDescent="0.35">
      <c r="H475" s="24"/>
    </row>
    <row r="476" spans="8:8" x14ac:dyDescent="0.35">
      <c r="H476" s="24"/>
    </row>
    <row r="477" spans="8:8" x14ac:dyDescent="0.35">
      <c r="H477" s="24"/>
    </row>
    <row r="478" spans="8:8" x14ac:dyDescent="0.35">
      <c r="H478" s="24"/>
    </row>
    <row r="479" spans="8:8" x14ac:dyDescent="0.35">
      <c r="H479" s="24"/>
    </row>
    <row r="480" spans="8:8" x14ac:dyDescent="0.35">
      <c r="H480" s="24"/>
    </row>
    <row r="481" spans="8:8" x14ac:dyDescent="0.35">
      <c r="H481" s="24"/>
    </row>
    <row r="482" spans="8:8" x14ac:dyDescent="0.35">
      <c r="H482" s="24"/>
    </row>
    <row r="483" spans="8:8" x14ac:dyDescent="0.35">
      <c r="H483" s="24"/>
    </row>
    <row r="484" spans="8:8" x14ac:dyDescent="0.35">
      <c r="H484" s="24"/>
    </row>
    <row r="485" spans="8:8" x14ac:dyDescent="0.35">
      <c r="H485" s="24"/>
    </row>
    <row r="486" spans="8:8" x14ac:dyDescent="0.35">
      <c r="H486" s="24"/>
    </row>
    <row r="487" spans="8:8" x14ac:dyDescent="0.35">
      <c r="H487" s="24"/>
    </row>
    <row r="488" spans="8:8" x14ac:dyDescent="0.35">
      <c r="H488" s="24"/>
    </row>
    <row r="489" spans="8:8" x14ac:dyDescent="0.35">
      <c r="H489" s="24"/>
    </row>
    <row r="490" spans="8:8" x14ac:dyDescent="0.35">
      <c r="H490" s="24"/>
    </row>
    <row r="491" spans="8:8" x14ac:dyDescent="0.35">
      <c r="H491" s="24"/>
    </row>
    <row r="492" spans="8:8" x14ac:dyDescent="0.35">
      <c r="H492" s="24"/>
    </row>
    <row r="493" spans="8:8" x14ac:dyDescent="0.35">
      <c r="H493" s="24"/>
    </row>
    <row r="494" spans="8:8" x14ac:dyDescent="0.35">
      <c r="H494" s="24"/>
    </row>
    <row r="495" spans="8:8" x14ac:dyDescent="0.35">
      <c r="H495" s="24"/>
    </row>
    <row r="496" spans="8:8" x14ac:dyDescent="0.35">
      <c r="H496" s="24"/>
    </row>
    <row r="497" spans="8:8" x14ac:dyDescent="0.35">
      <c r="H497" s="24"/>
    </row>
    <row r="498" spans="8:8" x14ac:dyDescent="0.35">
      <c r="H498" s="24"/>
    </row>
    <row r="499" spans="8:8" x14ac:dyDescent="0.35">
      <c r="H499" s="24"/>
    </row>
    <row r="500" spans="8:8" x14ac:dyDescent="0.35">
      <c r="H500" s="24"/>
    </row>
    <row r="501" spans="8:8" x14ac:dyDescent="0.35">
      <c r="H501" s="24"/>
    </row>
    <row r="502" spans="8:8" x14ac:dyDescent="0.35">
      <c r="H502" s="24"/>
    </row>
    <row r="503" spans="8:8" x14ac:dyDescent="0.35">
      <c r="H503" s="24"/>
    </row>
    <row r="504" spans="8:8" x14ac:dyDescent="0.35">
      <c r="H504" s="24"/>
    </row>
    <row r="505" spans="8:8" x14ac:dyDescent="0.35">
      <c r="H505" s="24"/>
    </row>
    <row r="506" spans="8:8" x14ac:dyDescent="0.35">
      <c r="H506" s="24"/>
    </row>
    <row r="507" spans="8:8" x14ac:dyDescent="0.35">
      <c r="H507" s="24"/>
    </row>
    <row r="508" spans="8:8" x14ac:dyDescent="0.35">
      <c r="H508" s="24"/>
    </row>
    <row r="509" spans="8:8" x14ac:dyDescent="0.35">
      <c r="H509" s="24"/>
    </row>
    <row r="510" spans="8:8" x14ac:dyDescent="0.35">
      <c r="H510" s="24"/>
    </row>
    <row r="511" spans="8:8" x14ac:dyDescent="0.35">
      <c r="H511" s="24"/>
    </row>
    <row r="512" spans="8:8" x14ac:dyDescent="0.35">
      <c r="H512" s="24"/>
    </row>
    <row r="513" spans="8:8" x14ac:dyDescent="0.35">
      <c r="H513" s="24"/>
    </row>
    <row r="514" spans="8:8" x14ac:dyDescent="0.35">
      <c r="H514" s="24"/>
    </row>
    <row r="515" spans="8:8" x14ac:dyDescent="0.35">
      <c r="H515" s="24"/>
    </row>
    <row r="516" spans="8:8" x14ac:dyDescent="0.35">
      <c r="H516" s="24"/>
    </row>
    <row r="517" spans="8:8" x14ac:dyDescent="0.35">
      <c r="H517" s="24"/>
    </row>
    <row r="518" spans="8:8" x14ac:dyDescent="0.35">
      <c r="H518" s="24"/>
    </row>
    <row r="519" spans="8:8" x14ac:dyDescent="0.35">
      <c r="H519" s="24"/>
    </row>
    <row r="520" spans="8:8" x14ac:dyDescent="0.35">
      <c r="H520" s="24"/>
    </row>
    <row r="521" spans="8:8" x14ac:dyDescent="0.35">
      <c r="H521" s="24"/>
    </row>
    <row r="522" spans="8:8" x14ac:dyDescent="0.35">
      <c r="H522" s="24"/>
    </row>
    <row r="523" spans="8:8" x14ac:dyDescent="0.35">
      <c r="H523" s="24"/>
    </row>
    <row r="524" spans="8:8" x14ac:dyDescent="0.35">
      <c r="H524" s="24"/>
    </row>
    <row r="525" spans="8:8" x14ac:dyDescent="0.35">
      <c r="H525" s="24"/>
    </row>
    <row r="526" spans="8:8" x14ac:dyDescent="0.35">
      <c r="H526" s="24"/>
    </row>
    <row r="527" spans="8:8" x14ac:dyDescent="0.35">
      <c r="H527" s="24"/>
    </row>
    <row r="528" spans="8:8" x14ac:dyDescent="0.35">
      <c r="H528" s="24"/>
    </row>
    <row r="529" spans="8:8" x14ac:dyDescent="0.35">
      <c r="H529" s="24"/>
    </row>
    <row r="530" spans="8:8" x14ac:dyDescent="0.35">
      <c r="H530" s="24"/>
    </row>
    <row r="531" spans="8:8" x14ac:dyDescent="0.35">
      <c r="H531" s="24"/>
    </row>
    <row r="532" spans="8:8" x14ac:dyDescent="0.35">
      <c r="H532" s="24"/>
    </row>
    <row r="533" spans="8:8" x14ac:dyDescent="0.35">
      <c r="H533" s="24"/>
    </row>
    <row r="534" spans="8:8" x14ac:dyDescent="0.35">
      <c r="H534" s="24"/>
    </row>
    <row r="535" spans="8:8" x14ac:dyDescent="0.35">
      <c r="H535" s="24"/>
    </row>
    <row r="536" spans="8:8" x14ac:dyDescent="0.35">
      <c r="H536" s="24"/>
    </row>
    <row r="537" spans="8:8" x14ac:dyDescent="0.35">
      <c r="H537" s="24"/>
    </row>
    <row r="538" spans="8:8" x14ac:dyDescent="0.35">
      <c r="H538" s="24"/>
    </row>
    <row r="539" spans="8:8" x14ac:dyDescent="0.35">
      <c r="H539" s="24"/>
    </row>
    <row r="540" spans="8:8" x14ac:dyDescent="0.35">
      <c r="H540" s="24"/>
    </row>
    <row r="541" spans="8:8" x14ac:dyDescent="0.35">
      <c r="H541" s="24"/>
    </row>
    <row r="542" spans="8:8" x14ac:dyDescent="0.35">
      <c r="H542" s="24"/>
    </row>
    <row r="543" spans="8:8" x14ac:dyDescent="0.35">
      <c r="H543" s="24"/>
    </row>
    <row r="544" spans="8:8" x14ac:dyDescent="0.35">
      <c r="H544" s="24"/>
    </row>
    <row r="545" spans="8:8" x14ac:dyDescent="0.35">
      <c r="H545" s="24"/>
    </row>
    <row r="546" spans="8:8" x14ac:dyDescent="0.35">
      <c r="H546" s="24"/>
    </row>
    <row r="547" spans="8:8" x14ac:dyDescent="0.35">
      <c r="H547" s="24"/>
    </row>
    <row r="548" spans="8:8" x14ac:dyDescent="0.35">
      <c r="H548" s="24"/>
    </row>
    <row r="549" spans="8:8" x14ac:dyDescent="0.35">
      <c r="H549" s="24"/>
    </row>
    <row r="550" spans="8:8" x14ac:dyDescent="0.35">
      <c r="H550" s="24"/>
    </row>
    <row r="551" spans="8:8" x14ac:dyDescent="0.35">
      <c r="H551" s="24"/>
    </row>
    <row r="552" spans="8:8" x14ac:dyDescent="0.35">
      <c r="H552" s="24"/>
    </row>
    <row r="553" spans="8:8" x14ac:dyDescent="0.35">
      <c r="H553" s="24"/>
    </row>
    <row r="554" spans="8:8" x14ac:dyDescent="0.35">
      <c r="H554" s="24"/>
    </row>
    <row r="555" spans="8:8" x14ac:dyDescent="0.35">
      <c r="H555" s="24"/>
    </row>
    <row r="556" spans="8:8" x14ac:dyDescent="0.35">
      <c r="H556" s="24"/>
    </row>
    <row r="557" spans="8:8" x14ac:dyDescent="0.35">
      <c r="H557" s="24"/>
    </row>
    <row r="558" spans="8:8" x14ac:dyDescent="0.35">
      <c r="H558" s="24"/>
    </row>
    <row r="559" spans="8:8" x14ac:dyDescent="0.35">
      <c r="H559" s="24"/>
    </row>
    <row r="560" spans="8:8" x14ac:dyDescent="0.35">
      <c r="H560" s="24"/>
    </row>
    <row r="561" spans="8:8" x14ac:dyDescent="0.35">
      <c r="H561" s="24"/>
    </row>
    <row r="562" spans="8:8" x14ac:dyDescent="0.35">
      <c r="H562" s="24"/>
    </row>
    <row r="563" spans="8:8" x14ac:dyDescent="0.35">
      <c r="H563" s="24"/>
    </row>
    <row r="564" spans="8:8" x14ac:dyDescent="0.35">
      <c r="H564" s="24"/>
    </row>
    <row r="565" spans="8:8" x14ac:dyDescent="0.35">
      <c r="H565" s="24"/>
    </row>
    <row r="566" spans="8:8" x14ac:dyDescent="0.35">
      <c r="H566" s="24"/>
    </row>
    <row r="567" spans="8:8" x14ac:dyDescent="0.35">
      <c r="H567" s="24"/>
    </row>
    <row r="568" spans="8:8" x14ac:dyDescent="0.35">
      <c r="H568" s="24"/>
    </row>
    <row r="569" spans="8:8" x14ac:dyDescent="0.35">
      <c r="H569" s="24"/>
    </row>
    <row r="570" spans="8:8" x14ac:dyDescent="0.35">
      <c r="H570" s="24"/>
    </row>
    <row r="571" spans="8:8" x14ac:dyDescent="0.35">
      <c r="H571" s="24"/>
    </row>
    <row r="572" spans="8:8" x14ac:dyDescent="0.35">
      <c r="H572" s="24"/>
    </row>
    <row r="573" spans="8:8" x14ac:dyDescent="0.35">
      <c r="H573" s="24"/>
    </row>
    <row r="574" spans="8:8" x14ac:dyDescent="0.35">
      <c r="H574" s="24"/>
    </row>
    <row r="575" spans="8:8" x14ac:dyDescent="0.35">
      <c r="H575" s="24"/>
    </row>
    <row r="576" spans="8:8" x14ac:dyDescent="0.35">
      <c r="H576" s="24"/>
    </row>
    <row r="577" spans="8:8" x14ac:dyDescent="0.35">
      <c r="H577" s="24"/>
    </row>
    <row r="578" spans="8:8" x14ac:dyDescent="0.35">
      <c r="H578" s="24"/>
    </row>
    <row r="579" spans="8:8" x14ac:dyDescent="0.35">
      <c r="H579" s="24"/>
    </row>
    <row r="580" spans="8:8" x14ac:dyDescent="0.35">
      <c r="H580" s="24"/>
    </row>
    <row r="581" spans="8:8" x14ac:dyDescent="0.35">
      <c r="H581" s="24"/>
    </row>
    <row r="582" spans="8:8" x14ac:dyDescent="0.35">
      <c r="H582" s="24"/>
    </row>
    <row r="583" spans="8:8" x14ac:dyDescent="0.35">
      <c r="H583" s="24"/>
    </row>
    <row r="584" spans="8:8" x14ac:dyDescent="0.35">
      <c r="H584" s="24"/>
    </row>
    <row r="585" spans="8:8" x14ac:dyDescent="0.35">
      <c r="H585" s="24"/>
    </row>
    <row r="586" spans="8:8" x14ac:dyDescent="0.35">
      <c r="H586" s="24"/>
    </row>
    <row r="587" spans="8:8" x14ac:dyDescent="0.35">
      <c r="H587" s="24"/>
    </row>
    <row r="588" spans="8:8" x14ac:dyDescent="0.35">
      <c r="H588" s="24"/>
    </row>
    <row r="589" spans="8:8" x14ac:dyDescent="0.35">
      <c r="H589" s="24"/>
    </row>
    <row r="590" spans="8:8" x14ac:dyDescent="0.35">
      <c r="H590" s="24"/>
    </row>
    <row r="591" spans="8:8" x14ac:dyDescent="0.35">
      <c r="H591" s="24"/>
    </row>
    <row r="592" spans="8:8" x14ac:dyDescent="0.35">
      <c r="H592" s="24"/>
    </row>
    <row r="593" spans="8:8" x14ac:dyDescent="0.35">
      <c r="H593" s="24"/>
    </row>
    <row r="594" spans="8:8" x14ac:dyDescent="0.35">
      <c r="H594" s="24"/>
    </row>
    <row r="595" spans="8:8" x14ac:dyDescent="0.35">
      <c r="H595" s="24"/>
    </row>
    <row r="596" spans="8:8" x14ac:dyDescent="0.35">
      <c r="H596" s="24"/>
    </row>
    <row r="597" spans="8:8" x14ac:dyDescent="0.35">
      <c r="H597" s="24"/>
    </row>
    <row r="598" spans="8:8" x14ac:dyDescent="0.35">
      <c r="H598" s="24"/>
    </row>
    <row r="599" spans="8:8" x14ac:dyDescent="0.35">
      <c r="H599" s="24"/>
    </row>
    <row r="600" spans="8:8" x14ac:dyDescent="0.35">
      <c r="H600" s="24"/>
    </row>
    <row r="601" spans="8:8" x14ac:dyDescent="0.35">
      <c r="H601" s="24"/>
    </row>
    <row r="602" spans="8:8" x14ac:dyDescent="0.35">
      <c r="H602" s="24"/>
    </row>
    <row r="603" spans="8:8" x14ac:dyDescent="0.35">
      <c r="H603" s="24"/>
    </row>
    <row r="604" spans="8:8" x14ac:dyDescent="0.35">
      <c r="H604" s="24"/>
    </row>
    <row r="605" spans="8:8" x14ac:dyDescent="0.35">
      <c r="H605" s="24"/>
    </row>
    <row r="606" spans="8:8" x14ac:dyDescent="0.35">
      <c r="H606" s="24"/>
    </row>
    <row r="607" spans="8:8" x14ac:dyDescent="0.35">
      <c r="H607" s="24"/>
    </row>
    <row r="608" spans="8:8" x14ac:dyDescent="0.35">
      <c r="H608" s="24"/>
    </row>
    <row r="609" spans="8:8" x14ac:dyDescent="0.35">
      <c r="H609" s="24"/>
    </row>
    <row r="610" spans="8:8" x14ac:dyDescent="0.35">
      <c r="H610" s="24"/>
    </row>
    <row r="611" spans="8:8" x14ac:dyDescent="0.35">
      <c r="H611" s="24"/>
    </row>
    <row r="612" spans="8:8" x14ac:dyDescent="0.35">
      <c r="H612" s="24"/>
    </row>
    <row r="613" spans="8:8" x14ac:dyDescent="0.35">
      <c r="H613" s="24"/>
    </row>
    <row r="614" spans="8:8" x14ac:dyDescent="0.35">
      <c r="H614" s="24"/>
    </row>
    <row r="615" spans="8:8" x14ac:dyDescent="0.35">
      <c r="H615" s="24"/>
    </row>
    <row r="616" spans="8:8" x14ac:dyDescent="0.35">
      <c r="H616" s="24"/>
    </row>
    <row r="617" spans="8:8" x14ac:dyDescent="0.35">
      <c r="H617" s="24"/>
    </row>
    <row r="618" spans="8:8" x14ac:dyDescent="0.35">
      <c r="H618" s="24"/>
    </row>
    <row r="619" spans="8:8" x14ac:dyDescent="0.35">
      <c r="H619" s="24"/>
    </row>
    <row r="620" spans="8:8" x14ac:dyDescent="0.35">
      <c r="H620" s="24"/>
    </row>
    <row r="621" spans="8:8" x14ac:dyDescent="0.35">
      <c r="H621" s="24"/>
    </row>
    <row r="622" spans="8:8" x14ac:dyDescent="0.35">
      <c r="H622" s="24"/>
    </row>
    <row r="623" spans="8:8" x14ac:dyDescent="0.35">
      <c r="H623" s="24"/>
    </row>
    <row r="624" spans="8:8" x14ac:dyDescent="0.35">
      <c r="H624" s="24"/>
    </row>
    <row r="625" spans="8:8" x14ac:dyDescent="0.35">
      <c r="H625" s="24"/>
    </row>
    <row r="626" spans="8:8" x14ac:dyDescent="0.35">
      <c r="H626" s="24"/>
    </row>
    <row r="627" spans="8:8" x14ac:dyDescent="0.35">
      <c r="H627" s="24"/>
    </row>
    <row r="628" spans="8:8" x14ac:dyDescent="0.35">
      <c r="H628" s="24"/>
    </row>
    <row r="629" spans="8:8" x14ac:dyDescent="0.35">
      <c r="H629" s="24"/>
    </row>
    <row r="630" spans="8:8" x14ac:dyDescent="0.35">
      <c r="H630" s="24"/>
    </row>
    <row r="631" spans="8:8" x14ac:dyDescent="0.35">
      <c r="H631" s="24"/>
    </row>
    <row r="632" spans="8:8" x14ac:dyDescent="0.35">
      <c r="H632" s="24"/>
    </row>
    <row r="633" spans="8:8" x14ac:dyDescent="0.35">
      <c r="H633" s="24"/>
    </row>
    <row r="634" spans="8:8" x14ac:dyDescent="0.35">
      <c r="H634" s="24"/>
    </row>
    <row r="635" spans="8:8" x14ac:dyDescent="0.35">
      <c r="H635" s="24"/>
    </row>
    <row r="636" spans="8:8" x14ac:dyDescent="0.35">
      <c r="H636" s="24"/>
    </row>
    <row r="637" spans="8:8" x14ac:dyDescent="0.35">
      <c r="H637" s="24"/>
    </row>
    <row r="638" spans="8:8" x14ac:dyDescent="0.35">
      <c r="H638" s="24"/>
    </row>
    <row r="639" spans="8:8" x14ac:dyDescent="0.35">
      <c r="H639" s="24"/>
    </row>
    <row r="640" spans="8:8" x14ac:dyDescent="0.35">
      <c r="H640" s="24"/>
    </row>
    <row r="641" spans="8:8" x14ac:dyDescent="0.35">
      <c r="H641" s="24"/>
    </row>
    <row r="642" spans="8:8" x14ac:dyDescent="0.35">
      <c r="H642" s="24"/>
    </row>
    <row r="643" spans="8:8" x14ac:dyDescent="0.35">
      <c r="H643" s="24"/>
    </row>
    <row r="644" spans="8:8" x14ac:dyDescent="0.35">
      <c r="H644" s="24"/>
    </row>
    <row r="645" spans="8:8" x14ac:dyDescent="0.35">
      <c r="H645" s="24"/>
    </row>
    <row r="646" spans="8:8" x14ac:dyDescent="0.35">
      <c r="H646" s="24"/>
    </row>
    <row r="647" spans="8:8" x14ac:dyDescent="0.35">
      <c r="H647" s="24"/>
    </row>
    <row r="648" spans="8:8" x14ac:dyDescent="0.35">
      <c r="H648" s="24"/>
    </row>
    <row r="649" spans="8:8" x14ac:dyDescent="0.35">
      <c r="H649" s="24"/>
    </row>
    <row r="650" spans="8:8" x14ac:dyDescent="0.35">
      <c r="H650" s="24"/>
    </row>
    <row r="651" spans="8:8" x14ac:dyDescent="0.35">
      <c r="H651" s="24"/>
    </row>
    <row r="652" spans="8:8" x14ac:dyDescent="0.35">
      <c r="H652" s="24"/>
    </row>
    <row r="653" spans="8:8" x14ac:dyDescent="0.35">
      <c r="H653" s="24"/>
    </row>
    <row r="654" spans="8:8" x14ac:dyDescent="0.35">
      <c r="H654" s="24"/>
    </row>
    <row r="655" spans="8:8" x14ac:dyDescent="0.35">
      <c r="H655" s="24"/>
    </row>
    <row r="656" spans="8:8" x14ac:dyDescent="0.35">
      <c r="H656" s="24"/>
    </row>
    <row r="657" spans="8:8" x14ac:dyDescent="0.35">
      <c r="H657" s="24"/>
    </row>
    <row r="658" spans="8:8" x14ac:dyDescent="0.35">
      <c r="H658" s="24"/>
    </row>
    <row r="659" spans="8:8" x14ac:dyDescent="0.35">
      <c r="H659" s="24"/>
    </row>
    <row r="660" spans="8:8" x14ac:dyDescent="0.35">
      <c r="H660" s="24"/>
    </row>
    <row r="661" spans="8:8" x14ac:dyDescent="0.35">
      <c r="H661" s="24"/>
    </row>
    <row r="662" spans="8:8" x14ac:dyDescent="0.35">
      <c r="H662" s="24"/>
    </row>
    <row r="663" spans="8:8" x14ac:dyDescent="0.35">
      <c r="H663" s="24"/>
    </row>
    <row r="664" spans="8:8" x14ac:dyDescent="0.35">
      <c r="H664" s="24"/>
    </row>
    <row r="665" spans="8:8" x14ac:dyDescent="0.35">
      <c r="H665" s="24"/>
    </row>
    <row r="666" spans="8:8" x14ac:dyDescent="0.35">
      <c r="H666" s="24"/>
    </row>
    <row r="667" spans="8:8" x14ac:dyDescent="0.35">
      <c r="H667" s="24"/>
    </row>
    <row r="668" spans="8:8" x14ac:dyDescent="0.35">
      <c r="H668" s="24"/>
    </row>
    <row r="669" spans="8:8" x14ac:dyDescent="0.35">
      <c r="H669" s="24"/>
    </row>
    <row r="670" spans="8:8" x14ac:dyDescent="0.35">
      <c r="H670" s="24"/>
    </row>
    <row r="671" spans="8:8" x14ac:dyDescent="0.35">
      <c r="H671" s="24"/>
    </row>
    <row r="672" spans="8:8" x14ac:dyDescent="0.35">
      <c r="H672" s="24"/>
    </row>
    <row r="673" spans="8:8" x14ac:dyDescent="0.35">
      <c r="H673" s="24"/>
    </row>
    <row r="674" spans="8:8" x14ac:dyDescent="0.35">
      <c r="H674" s="24"/>
    </row>
    <row r="675" spans="8:8" x14ac:dyDescent="0.35">
      <c r="H675" s="24"/>
    </row>
    <row r="676" spans="8:8" x14ac:dyDescent="0.35">
      <c r="H676" s="24"/>
    </row>
    <row r="677" spans="8:8" x14ac:dyDescent="0.35">
      <c r="H677" s="24"/>
    </row>
    <row r="678" spans="8:8" x14ac:dyDescent="0.35">
      <c r="H678" s="24"/>
    </row>
    <row r="679" spans="8:8" x14ac:dyDescent="0.35">
      <c r="H679" s="24"/>
    </row>
    <row r="680" spans="8:8" x14ac:dyDescent="0.35">
      <c r="H680" s="24"/>
    </row>
    <row r="681" spans="8:8" x14ac:dyDescent="0.35">
      <c r="H681" s="24"/>
    </row>
    <row r="682" spans="8:8" x14ac:dyDescent="0.35">
      <c r="H682" s="24"/>
    </row>
    <row r="683" spans="8:8" x14ac:dyDescent="0.35">
      <c r="H683" s="24"/>
    </row>
    <row r="684" spans="8:8" x14ac:dyDescent="0.35">
      <c r="H684" s="24"/>
    </row>
    <row r="685" spans="8:8" x14ac:dyDescent="0.35">
      <c r="H685" s="24"/>
    </row>
    <row r="686" spans="8:8" x14ac:dyDescent="0.35">
      <c r="H686" s="24"/>
    </row>
    <row r="687" spans="8:8" x14ac:dyDescent="0.35">
      <c r="H687" s="24"/>
    </row>
    <row r="688" spans="8:8" x14ac:dyDescent="0.35">
      <c r="H688" s="24"/>
    </row>
    <row r="689" spans="8:8" x14ac:dyDescent="0.35">
      <c r="H689" s="24"/>
    </row>
    <row r="690" spans="8:8" x14ac:dyDescent="0.35">
      <c r="H690" s="24"/>
    </row>
    <row r="691" spans="8:8" x14ac:dyDescent="0.35">
      <c r="H691" s="24"/>
    </row>
    <row r="692" spans="8:8" x14ac:dyDescent="0.35">
      <c r="H692" s="24"/>
    </row>
    <row r="693" spans="8:8" x14ac:dyDescent="0.35">
      <c r="H693" s="24"/>
    </row>
    <row r="694" spans="8:8" x14ac:dyDescent="0.35">
      <c r="H694" s="24"/>
    </row>
    <row r="695" spans="8:8" x14ac:dyDescent="0.35">
      <c r="H695" s="24"/>
    </row>
    <row r="696" spans="8:8" x14ac:dyDescent="0.35">
      <c r="H696" s="24"/>
    </row>
    <row r="697" spans="8:8" x14ac:dyDescent="0.35">
      <c r="H697" s="24"/>
    </row>
    <row r="698" spans="8:8" x14ac:dyDescent="0.35">
      <c r="H698" s="24"/>
    </row>
    <row r="699" spans="8:8" x14ac:dyDescent="0.35">
      <c r="H699" s="24"/>
    </row>
    <row r="700" spans="8:8" x14ac:dyDescent="0.35">
      <c r="H700" s="24"/>
    </row>
    <row r="701" spans="8:8" x14ac:dyDescent="0.35">
      <c r="H701" s="24"/>
    </row>
    <row r="702" spans="8:8" x14ac:dyDescent="0.35">
      <c r="H702" s="24"/>
    </row>
    <row r="703" spans="8:8" x14ac:dyDescent="0.35">
      <c r="H703" s="24"/>
    </row>
    <row r="704" spans="8:8" x14ac:dyDescent="0.35">
      <c r="H704" s="24"/>
    </row>
    <row r="705" spans="8:8" x14ac:dyDescent="0.35">
      <c r="H705" s="24"/>
    </row>
    <row r="706" spans="8:8" x14ac:dyDescent="0.35">
      <c r="H706" s="24"/>
    </row>
    <row r="707" spans="8:8" x14ac:dyDescent="0.35">
      <c r="H707" s="24"/>
    </row>
    <row r="708" spans="8:8" x14ac:dyDescent="0.35">
      <c r="H708" s="24"/>
    </row>
    <row r="709" spans="8:8" x14ac:dyDescent="0.35">
      <c r="H709" s="24"/>
    </row>
    <row r="710" spans="8:8" x14ac:dyDescent="0.35">
      <c r="H710" s="24"/>
    </row>
    <row r="711" spans="8:8" x14ac:dyDescent="0.35">
      <c r="H711" s="24"/>
    </row>
    <row r="712" spans="8:8" x14ac:dyDescent="0.35">
      <c r="H712" s="24"/>
    </row>
    <row r="713" spans="8:8" x14ac:dyDescent="0.35">
      <c r="H713" s="24"/>
    </row>
    <row r="714" spans="8:8" x14ac:dyDescent="0.35">
      <c r="H714" s="24"/>
    </row>
    <row r="715" spans="8:8" x14ac:dyDescent="0.35">
      <c r="H715" s="24"/>
    </row>
    <row r="716" spans="8:8" x14ac:dyDescent="0.35">
      <c r="H716" s="24"/>
    </row>
    <row r="717" spans="8:8" x14ac:dyDescent="0.35">
      <c r="H717" s="24"/>
    </row>
    <row r="718" spans="8:8" x14ac:dyDescent="0.35">
      <c r="H718" s="24"/>
    </row>
    <row r="719" spans="8:8" x14ac:dyDescent="0.35">
      <c r="H719" s="24"/>
    </row>
    <row r="720" spans="8:8" x14ac:dyDescent="0.35">
      <c r="H720" s="24"/>
    </row>
    <row r="721" spans="8:8" x14ac:dyDescent="0.35">
      <c r="H721" s="24"/>
    </row>
    <row r="722" spans="8:8" x14ac:dyDescent="0.35">
      <c r="H722" s="24"/>
    </row>
    <row r="723" spans="8:8" x14ac:dyDescent="0.35">
      <c r="H723" s="24"/>
    </row>
    <row r="724" spans="8:8" x14ac:dyDescent="0.35">
      <c r="H724" s="24"/>
    </row>
    <row r="725" spans="8:8" x14ac:dyDescent="0.35">
      <c r="H725" s="24"/>
    </row>
    <row r="726" spans="8:8" x14ac:dyDescent="0.35">
      <c r="H726" s="24"/>
    </row>
    <row r="727" spans="8:8" x14ac:dyDescent="0.35">
      <c r="H727" s="24"/>
    </row>
    <row r="728" spans="8:8" x14ac:dyDescent="0.35">
      <c r="H728" s="24"/>
    </row>
    <row r="729" spans="8:8" x14ac:dyDescent="0.35">
      <c r="H729" s="24"/>
    </row>
    <row r="730" spans="8:8" x14ac:dyDescent="0.35">
      <c r="H730" s="24"/>
    </row>
    <row r="731" spans="8:8" x14ac:dyDescent="0.35">
      <c r="H731" s="24"/>
    </row>
    <row r="732" spans="8:8" x14ac:dyDescent="0.35">
      <c r="H732" s="24"/>
    </row>
    <row r="733" spans="8:8" x14ac:dyDescent="0.35">
      <c r="H733" s="24"/>
    </row>
    <row r="734" spans="8:8" x14ac:dyDescent="0.35">
      <c r="H734" s="24"/>
    </row>
    <row r="735" spans="8:8" x14ac:dyDescent="0.35">
      <c r="H735" s="24"/>
    </row>
    <row r="736" spans="8:8" x14ac:dyDescent="0.35">
      <c r="H736" s="24"/>
    </row>
    <row r="737" spans="8:8" x14ac:dyDescent="0.35">
      <c r="H737" s="24"/>
    </row>
    <row r="738" spans="8:8" x14ac:dyDescent="0.35">
      <c r="H738" s="24"/>
    </row>
    <row r="739" spans="8:8" x14ac:dyDescent="0.35">
      <c r="H739" s="24"/>
    </row>
    <row r="740" spans="8:8" x14ac:dyDescent="0.35">
      <c r="H740" s="24"/>
    </row>
    <row r="741" spans="8:8" x14ac:dyDescent="0.35">
      <c r="H741" s="24"/>
    </row>
    <row r="742" spans="8:8" x14ac:dyDescent="0.35">
      <c r="H742" s="24"/>
    </row>
    <row r="743" spans="8:8" x14ac:dyDescent="0.35">
      <c r="H743" s="24"/>
    </row>
    <row r="744" spans="8:8" x14ac:dyDescent="0.35">
      <c r="H744" s="24"/>
    </row>
    <row r="745" spans="8:8" x14ac:dyDescent="0.35">
      <c r="H745" s="24"/>
    </row>
  </sheetData>
  <dataConsolidate/>
  <mergeCells count="49">
    <mergeCell ref="C47:E47"/>
    <mergeCell ref="B21:E22"/>
    <mergeCell ref="B27:E27"/>
    <mergeCell ref="B28:E29"/>
    <mergeCell ref="B23:E24"/>
    <mergeCell ref="F34:I35"/>
    <mergeCell ref="F36:I37"/>
    <mergeCell ref="F38:I39"/>
    <mergeCell ref="B30:E31"/>
    <mergeCell ref="B32:E33"/>
    <mergeCell ref="F32:I33"/>
    <mergeCell ref="F40:I41"/>
    <mergeCell ref="A30:A43"/>
    <mergeCell ref="B42:E43"/>
    <mergeCell ref="F42:I43"/>
    <mergeCell ref="B25:E26"/>
    <mergeCell ref="A9:A29"/>
    <mergeCell ref="B38:E39"/>
    <mergeCell ref="B40:E41"/>
    <mergeCell ref="B34:E35"/>
    <mergeCell ref="B36:E37"/>
    <mergeCell ref="F23:I24"/>
    <mergeCell ref="F21:I22"/>
    <mergeCell ref="F25:I26"/>
    <mergeCell ref="F30:I31"/>
    <mergeCell ref="F27:I27"/>
    <mergeCell ref="F28:I29"/>
    <mergeCell ref="F9:I9"/>
    <mergeCell ref="F10:I10"/>
    <mergeCell ref="F11:I11"/>
    <mergeCell ref="F12:I12"/>
    <mergeCell ref="B14:E14"/>
    <mergeCell ref="F13:I13"/>
    <mergeCell ref="F17:I18"/>
    <mergeCell ref="F19:I20"/>
    <mergeCell ref="B17:E18"/>
    <mergeCell ref="B19:E20"/>
    <mergeCell ref="F14:I14"/>
    <mergeCell ref="A2:E2"/>
    <mergeCell ref="F3:G3"/>
    <mergeCell ref="A7:E7"/>
    <mergeCell ref="F7:G7"/>
    <mergeCell ref="F5:G5"/>
    <mergeCell ref="A3:E3"/>
    <mergeCell ref="A5:E5"/>
    <mergeCell ref="A6:E6"/>
    <mergeCell ref="F6:G6"/>
    <mergeCell ref="A4:E4"/>
    <mergeCell ref="F4:G4"/>
  </mergeCells>
  <phoneticPr fontId="9" type="noConversion"/>
  <conditionalFormatting sqref="F2 F3:G7">
    <cfRule type="containsBlanks" dxfId="21" priority="19">
      <formula>LEN(TRIM(F2))=0</formula>
    </cfRule>
  </conditionalFormatting>
  <conditionalFormatting sqref="F9:I9">
    <cfRule type="cellIs" dxfId="20" priority="40" operator="equal">
      <formula>42911</formula>
    </cfRule>
  </conditionalFormatting>
  <conditionalFormatting sqref="F10:I11">
    <cfRule type="cellIs" dxfId="19" priority="5" operator="equal">
      <formula>"See PO text"</formula>
    </cfRule>
  </conditionalFormatting>
  <conditionalFormatting sqref="F12:I13">
    <cfRule type="cellIs" dxfId="18" priority="1" operator="equal">
      <formula>100%</formula>
    </cfRule>
  </conditionalFormatting>
  <conditionalFormatting sqref="F14:I14">
    <cfRule type="cellIs" dxfId="17" priority="2" operator="equal">
      <formula>"Dimomo"</formula>
    </cfRule>
  </conditionalFormatting>
  <conditionalFormatting sqref="F17:I18">
    <cfRule type="cellIs" dxfId="16" priority="12" operator="equal">
      <formula>"Name"</formula>
    </cfRule>
  </conditionalFormatting>
  <conditionalFormatting sqref="F19:I20">
    <cfRule type="cellIs" dxfId="15" priority="11" operator="equal">
      <formula>"# Street, Town"</formula>
    </cfRule>
  </conditionalFormatting>
  <conditionalFormatting sqref="F21:I22">
    <cfRule type="cellIs" dxfId="14" priority="9" operator="equal">
      <formula>"Country"</formula>
    </cfRule>
  </conditionalFormatting>
  <conditionalFormatting sqref="F23:I24">
    <cfRule type="cellIs" dxfId="13" priority="8" operator="equal">
      <formula>"Company contact"</formula>
    </cfRule>
  </conditionalFormatting>
  <conditionalFormatting sqref="F25:I26">
    <cfRule type="cellIs" dxfId="12" priority="7" operator="equal">
      <formula>"xxx.xxxxxxx@company.com"</formula>
    </cfRule>
  </conditionalFormatting>
  <conditionalFormatting sqref="F27:I29">
    <cfRule type="cellIs" dxfId="11" priority="6" operator="equal">
      <formula>"011 000 0000"</formula>
    </cfRule>
  </conditionalFormatting>
  <conditionalFormatting sqref="F30:I31">
    <cfRule type="cellIs" dxfId="10" priority="16" operator="equal">
      <formula>"Name"</formula>
    </cfRule>
  </conditionalFormatting>
  <conditionalFormatting sqref="F32:I33">
    <cfRule type="cellIs" dxfId="9" priority="15" operator="equal">
      <formula>"# Street, Town"</formula>
    </cfRule>
  </conditionalFormatting>
  <conditionalFormatting sqref="F34:I35">
    <cfRule type="cellIs" dxfId="8" priority="14" operator="equal">
      <formula>"Code, City"</formula>
    </cfRule>
  </conditionalFormatting>
  <conditionalFormatting sqref="F36:I37">
    <cfRule type="cellIs" dxfId="7" priority="13" operator="equal">
      <formula>"Country"</formula>
    </cfRule>
  </conditionalFormatting>
  <conditionalFormatting sqref="F38:I39">
    <cfRule type="cellIs" dxfId="6" priority="24" operator="equal">
      <formula>"Company contact"</formula>
    </cfRule>
  </conditionalFormatting>
  <conditionalFormatting sqref="F40:I45">
    <cfRule type="cellIs" dxfId="5" priority="22" operator="equal">
      <formula>"011 000 0000"</formula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1ACD427-40FC-4575-A977-FC1C8C0D335D}">
          <x14:formula1>
            <xm:f>Sheet1!$A$1:$A$3</xm:f>
          </x14:formula1>
          <xm:sqref>F6:G6 F38:I39</xm:sqref>
        </x14:dataValidation>
        <x14:dataValidation type="list" allowBlank="1" showInputMessage="1" showErrorMessage="1" xr:uid="{30C71DB1-E6BF-48C8-AF2B-34762EF81F06}">
          <x14:formula1>
            <xm:f>Sheet1!$C$1:$C$7</xm:f>
          </x14:formula1>
          <xm:sqref>F5:G5</xm:sqref>
        </x14:dataValidation>
        <x14:dataValidation type="list" allowBlank="1" showInputMessage="1" showErrorMessage="1" xr:uid="{62B2423C-5C7A-4FD8-92C3-DF7FBBBCFFD4}">
          <x14:formula1>
            <xm:f>Sheet1!$A$1:$A$4</xm:f>
          </x14:formula1>
          <xm:sqref>F14:I14</xm:sqref>
        </x14:dataValidation>
        <x14:dataValidation type="list" allowBlank="1" showInputMessage="1" showErrorMessage="1" xr:uid="{86150256-3B57-48EF-B7EB-468E25889DD3}">
          <x14:formula1>
            <xm:f>Sheet1!$D$1:$D$4</xm:f>
          </x14:formula1>
          <xm:sqref>F40:I41</xm:sqref>
        </x14:dataValidation>
        <x14:dataValidation type="list" allowBlank="1" showInputMessage="1" showErrorMessage="1" xr:uid="{90AF4467-3878-4868-A58C-FC69AFA8ED01}">
          <x14:formula1>
            <xm:f>'Suppliers (2)'!$A:$A</xm:f>
          </x14:formula1>
          <xm:sqref>F3:G3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U54"/>
  <sheetViews>
    <sheetView view="pageBreakPreview" zoomScale="85" zoomScaleNormal="100" zoomScaleSheetLayoutView="85" workbookViewId="0">
      <selection activeCell="C30" sqref="C30:E30"/>
    </sheetView>
  </sheetViews>
  <sheetFormatPr defaultRowHeight="14.5" x14ac:dyDescent="0.35"/>
  <cols>
    <col min="1" max="1" width="10.453125" customWidth="1"/>
    <col min="2" max="2" width="9.453125" customWidth="1"/>
    <col min="3" max="5" width="10.453125" customWidth="1"/>
    <col min="6" max="6" width="11.26953125" bestFit="1" customWidth="1"/>
    <col min="7" max="7" width="7" customWidth="1"/>
    <col min="8" max="8" width="14" customWidth="1"/>
    <col min="9" max="9" width="11.81640625" bestFit="1" customWidth="1"/>
    <col min="10" max="11" width="11.54296875" customWidth="1"/>
    <col min="21" max="21" width="0" hidden="1" customWidth="1"/>
  </cols>
  <sheetData>
    <row r="2" spans="1:21" x14ac:dyDescent="0.35">
      <c r="U2" t="s">
        <v>14</v>
      </c>
    </row>
    <row r="3" spans="1:21" x14ac:dyDescent="0.35">
      <c r="U3" t="s">
        <v>15</v>
      </c>
    </row>
    <row r="8" spans="1:21" ht="8.25" customHeight="1" x14ac:dyDescent="0.35"/>
    <row r="9" spans="1:21" ht="23.5" x14ac:dyDescent="0.55000000000000004">
      <c r="A9" s="58" t="s">
        <v>0</v>
      </c>
      <c r="B9" s="58"/>
      <c r="C9" s="58"/>
      <c r="D9" s="58"/>
      <c r="E9" s="58"/>
      <c r="F9" s="169" t="str">
        <f ca="1">TRIM(LEFT(SUBSTITUTE(MID(CELL("filename",A2),FIND("[",CELL("filename",A2))+1,11),".xl",REPT(" ",255)),11))</f>
        <v>AFRI-0000_x</v>
      </c>
      <c r="G9" s="169"/>
      <c r="H9" s="169"/>
      <c r="J9" s="19" t="s">
        <v>35</v>
      </c>
      <c r="K9" s="34" t="str">
        <f>Inputs!F2</f>
        <v>00</v>
      </c>
    </row>
    <row r="10" spans="1:21" ht="9" customHeight="1" x14ac:dyDescent="0.35"/>
    <row r="11" spans="1:21" x14ac:dyDescent="0.35">
      <c r="A11" s="35"/>
      <c r="B11" s="48" t="s">
        <v>53</v>
      </c>
      <c r="C11" s="172">
        <f>Inputs!F3</f>
        <v>0</v>
      </c>
      <c r="D11" s="172"/>
      <c r="E11" s="172"/>
      <c r="F11" s="173"/>
      <c r="H11" s="170" t="s">
        <v>49</v>
      </c>
      <c r="I11" s="171"/>
      <c r="J11" s="152">
        <f ca="1">Inputs!F9</f>
        <v>45852</v>
      </c>
      <c r="K11" s="153"/>
    </row>
    <row r="12" spans="1:21" ht="0.65" customHeight="1" x14ac:dyDescent="0.35">
      <c r="A12" s="5"/>
      <c r="B12" s="6"/>
      <c r="C12" s="150"/>
      <c r="D12" s="150"/>
      <c r="E12" s="150"/>
      <c r="F12" s="158"/>
      <c r="H12" s="139"/>
      <c r="I12" s="140"/>
      <c r="J12" s="18"/>
      <c r="K12" s="23"/>
    </row>
    <row r="13" spans="1:21" x14ac:dyDescent="0.35">
      <c r="A13" s="5"/>
      <c r="B13" s="47" t="s">
        <v>48</v>
      </c>
      <c r="C13" s="150" t="str">
        <f>Inputs!F19</f>
        <v/>
      </c>
      <c r="D13" s="150"/>
      <c r="E13" s="150"/>
      <c r="F13" s="158"/>
      <c r="H13" s="139" t="s">
        <v>20</v>
      </c>
      <c r="I13" s="140"/>
      <c r="J13" s="132" t="str">
        <f>Inputs!F10</f>
        <v/>
      </c>
      <c r="K13" s="133"/>
    </row>
    <row r="14" spans="1:21" ht="1.5" customHeight="1" x14ac:dyDescent="0.35">
      <c r="A14" s="5"/>
      <c r="B14" s="6"/>
      <c r="C14" s="150"/>
      <c r="D14" s="150"/>
      <c r="E14" s="150"/>
      <c r="F14" s="158"/>
      <c r="H14" s="139"/>
      <c r="I14" s="140"/>
      <c r="J14" s="18"/>
      <c r="K14" s="23"/>
    </row>
    <row r="15" spans="1:21" ht="0.5" customHeight="1" x14ac:dyDescent="0.35">
      <c r="A15" s="5"/>
      <c r="B15" s="6"/>
      <c r="C15" s="150"/>
      <c r="D15" s="150"/>
      <c r="E15" s="150"/>
      <c r="F15" s="158"/>
      <c r="H15" s="139"/>
      <c r="I15" s="140"/>
      <c r="J15" s="18"/>
      <c r="K15" s="23"/>
    </row>
    <row r="16" spans="1:21" ht="14.5" customHeight="1" x14ac:dyDescent="0.35">
      <c r="A16" s="159" t="s">
        <v>16</v>
      </c>
      <c r="B16" s="160"/>
      <c r="C16" s="161" t="str">
        <f>Inputs!F23</f>
        <v/>
      </c>
      <c r="D16" s="162"/>
      <c r="E16" s="164" t="str">
        <f>Inputs!F27</f>
        <v/>
      </c>
      <c r="F16" s="165"/>
      <c r="H16" s="139" t="s">
        <v>3</v>
      </c>
      <c r="I16" s="140"/>
      <c r="J16" s="154" t="str">
        <f>Inputs!F12</f>
        <v>0%</v>
      </c>
      <c r="K16" s="155"/>
    </row>
    <row r="17" spans="1:15" ht="17.5" customHeight="1" x14ac:dyDescent="0.35">
      <c r="A17" s="159"/>
      <c r="B17" s="168"/>
      <c r="C17" s="161"/>
      <c r="D17" s="162"/>
      <c r="E17" s="164"/>
      <c r="F17" s="165"/>
      <c r="H17" s="139" t="s">
        <v>65</v>
      </c>
      <c r="I17" s="140"/>
      <c r="J17" s="154" t="str">
        <f>Inputs!F17</f>
        <v/>
      </c>
      <c r="K17" s="155"/>
    </row>
    <row r="18" spans="1:15" ht="3" customHeight="1" x14ac:dyDescent="0.35">
      <c r="A18" s="5"/>
      <c r="B18" s="6"/>
      <c r="C18" s="46"/>
      <c r="D18" s="46"/>
      <c r="E18" s="50"/>
      <c r="F18" s="51"/>
      <c r="H18" s="52"/>
      <c r="I18" s="53"/>
      <c r="J18" s="18"/>
      <c r="K18" s="23"/>
    </row>
    <row r="19" spans="1:15" x14ac:dyDescent="0.35">
      <c r="A19" s="10" t="str">
        <f>Inputs!B25</f>
        <v>EMAIL:</v>
      </c>
      <c r="B19" s="150" t="str">
        <f>Inputs!F25</f>
        <v/>
      </c>
      <c r="C19" s="150"/>
      <c r="D19" s="150"/>
      <c r="E19" s="166"/>
      <c r="F19" s="167"/>
      <c r="H19" s="139" t="s">
        <v>50</v>
      </c>
      <c r="I19" s="140"/>
      <c r="J19" s="156">
        <v>4010288142</v>
      </c>
      <c r="K19" s="157"/>
    </row>
    <row r="20" spans="1:15" ht="2" customHeight="1" x14ac:dyDescent="0.35">
      <c r="A20" s="4"/>
      <c r="B20" s="163"/>
      <c r="C20" s="163"/>
      <c r="D20" s="163"/>
      <c r="E20" s="135"/>
      <c r="F20" s="136"/>
      <c r="H20" s="139"/>
      <c r="I20" s="140"/>
      <c r="J20" s="18"/>
      <c r="K20" s="23"/>
    </row>
    <row r="21" spans="1:15" x14ac:dyDescent="0.35">
      <c r="A21" s="159" t="s">
        <v>17</v>
      </c>
      <c r="B21" s="160"/>
      <c r="C21" s="150" t="str">
        <f>Inputs!F30</f>
        <v>Afrinov (PTY) Ltd</v>
      </c>
      <c r="D21" s="150"/>
      <c r="E21" s="150"/>
      <c r="F21" s="158"/>
      <c r="H21" s="139" t="s">
        <v>21</v>
      </c>
      <c r="I21" s="140"/>
      <c r="J21" s="132" t="str">
        <f>Inputs!F21</f>
        <v/>
      </c>
      <c r="K21" s="133"/>
    </row>
    <row r="22" spans="1:15" ht="3" customHeight="1" x14ac:dyDescent="0.35">
      <c r="A22" s="5"/>
      <c r="B22" s="6"/>
      <c r="C22" s="150"/>
      <c r="D22" s="150"/>
      <c r="E22" s="150"/>
      <c r="F22" s="158"/>
      <c r="H22" s="139"/>
      <c r="I22" s="140"/>
      <c r="J22" s="18"/>
      <c r="K22" s="23"/>
    </row>
    <row r="23" spans="1:15" ht="14.5" customHeight="1" x14ac:dyDescent="0.35">
      <c r="A23" s="159" t="s">
        <v>18</v>
      </c>
      <c r="B23" s="160"/>
      <c r="C23" s="150" t="str">
        <f>Inputs!F32</f>
        <v xml:space="preserve">10 Lime Street, Icon Industrial Park </v>
      </c>
      <c r="D23" s="150"/>
      <c r="E23" s="150"/>
      <c r="F23" s="158"/>
      <c r="H23" s="141" t="s">
        <v>22</v>
      </c>
      <c r="I23" s="142"/>
      <c r="J23" s="137">
        <f>Inputs!F14</f>
        <v>0</v>
      </c>
      <c r="K23" s="138"/>
      <c r="O23" s="56"/>
    </row>
    <row r="24" spans="1:15" x14ac:dyDescent="0.35">
      <c r="A24" s="5"/>
      <c r="B24" s="6"/>
      <c r="C24" s="150" t="str">
        <f>Inputs!F34</f>
        <v>Sunderland Ridge, Centurion 0157</v>
      </c>
      <c r="D24" s="150"/>
      <c r="E24" s="150"/>
      <c r="F24" s="158"/>
      <c r="H24" s="16"/>
      <c r="I24" s="3"/>
      <c r="J24" s="3"/>
    </row>
    <row r="25" spans="1:15" x14ac:dyDescent="0.35">
      <c r="A25" s="5"/>
      <c r="B25" s="6"/>
      <c r="C25" s="150" t="str">
        <f>Inputs!F36</f>
        <v>South Africa</v>
      </c>
      <c r="D25" s="150"/>
      <c r="E25" s="150"/>
      <c r="F25" s="158"/>
      <c r="H25" s="134" t="s">
        <v>14</v>
      </c>
      <c r="I25" s="134"/>
      <c r="J25" s="134"/>
      <c r="K25" s="134"/>
      <c r="N25" s="54"/>
    </row>
    <row r="26" spans="1:15" ht="15" customHeight="1" x14ac:dyDescent="0.35">
      <c r="A26" s="159" t="s">
        <v>19</v>
      </c>
      <c r="B26" s="160"/>
      <c r="C26" s="176" t="str">
        <f>Inputs!F38</f>
        <v>Vusi Gxoyiya</v>
      </c>
      <c r="D26" s="150"/>
      <c r="E26" s="164" t="str">
        <f>Inputs!F40</f>
        <v xml:space="preserve">073 805 9123 </v>
      </c>
      <c r="F26" s="165"/>
      <c r="H26" s="134" t="s">
        <v>23</v>
      </c>
      <c r="I26" s="134"/>
      <c r="J26" s="59" t="str">
        <f>Inputs!F4</f>
        <v>M-0000</v>
      </c>
      <c r="K26" s="59"/>
      <c r="N26" s="55"/>
    </row>
    <row r="27" spans="1:15" ht="15" customHeight="1" x14ac:dyDescent="0.35">
      <c r="A27" s="174"/>
      <c r="B27" s="175"/>
      <c r="C27" s="143"/>
      <c r="D27" s="143"/>
      <c r="E27" s="135"/>
      <c r="F27" s="136"/>
      <c r="H27" s="134" t="s">
        <v>24</v>
      </c>
      <c r="I27" s="134"/>
      <c r="J27" s="59">
        <f>Inputs!F5</f>
        <v>0</v>
      </c>
      <c r="K27" s="59"/>
    </row>
    <row r="29" spans="1:15" x14ac:dyDescent="0.35">
      <c r="A29" s="17" t="s">
        <v>27</v>
      </c>
      <c r="B29" s="17" t="s">
        <v>34</v>
      </c>
      <c r="C29" s="114" t="s">
        <v>33</v>
      </c>
      <c r="D29" s="114"/>
      <c r="E29" s="114"/>
      <c r="F29" s="17" t="s">
        <v>32</v>
      </c>
      <c r="G29" s="17" t="s">
        <v>31</v>
      </c>
      <c r="H29" s="17" t="s">
        <v>38</v>
      </c>
      <c r="I29" s="17" t="s">
        <v>30</v>
      </c>
      <c r="J29" s="17" t="s">
        <v>29</v>
      </c>
      <c r="K29" s="21" t="s">
        <v>28</v>
      </c>
    </row>
    <row r="30" spans="1:15" ht="35" customHeight="1" x14ac:dyDescent="0.35">
      <c r="A30" s="33">
        <f>Inputs!A48</f>
        <v>0</v>
      </c>
      <c r="B30" s="33">
        <f>Inputs!B48</f>
        <v>0</v>
      </c>
      <c r="C30" s="131">
        <f>Inputs!C48</f>
        <v>0</v>
      </c>
      <c r="D30" s="131"/>
      <c r="E30" s="131"/>
      <c r="F30" s="39">
        <f>Inputs!F48</f>
        <v>0</v>
      </c>
      <c r="G30" s="38">
        <f>Inputs!G48</f>
        <v>0</v>
      </c>
      <c r="H30" s="36">
        <f>Inputs!H48</f>
        <v>0</v>
      </c>
      <c r="I30" s="39">
        <f>(F30*G30)</f>
        <v>0</v>
      </c>
      <c r="J30" s="37">
        <f>I30*0.15</f>
        <v>0</v>
      </c>
      <c r="K30" s="37">
        <f>J30+I30</f>
        <v>0</v>
      </c>
    </row>
    <row r="31" spans="1:15" ht="22.5" customHeight="1" x14ac:dyDescent="0.35">
      <c r="A31" s="33">
        <f>Inputs!A49</f>
        <v>0</v>
      </c>
      <c r="B31" s="33">
        <f>Inputs!B49</f>
        <v>0</v>
      </c>
      <c r="C31" s="131">
        <f>Inputs!C49</f>
        <v>0</v>
      </c>
      <c r="D31" s="131"/>
      <c r="E31" s="131"/>
      <c r="F31" s="39">
        <f>Inputs!F49</f>
        <v>0</v>
      </c>
      <c r="G31" s="38">
        <f>Inputs!G49</f>
        <v>0</v>
      </c>
      <c r="H31" s="36">
        <f>Inputs!H49</f>
        <v>0</v>
      </c>
      <c r="I31" s="39">
        <f t="shared" ref="I31:I34" si="0">(F31*G31)</f>
        <v>0</v>
      </c>
      <c r="J31" s="37">
        <f t="shared" ref="J31:J34" si="1">I31*0.15</f>
        <v>0</v>
      </c>
      <c r="K31" s="37">
        <f t="shared" ref="K31:K34" si="2">J31+I31</f>
        <v>0</v>
      </c>
    </row>
    <row r="32" spans="1:15" ht="40" customHeight="1" x14ac:dyDescent="0.35">
      <c r="A32" s="33">
        <f>Inputs!A55</f>
        <v>0</v>
      </c>
      <c r="B32" s="33">
        <f>Inputs!B55</f>
        <v>0</v>
      </c>
      <c r="C32" s="131">
        <f>Inputs!C50</f>
        <v>0</v>
      </c>
      <c r="D32" s="131"/>
      <c r="E32" s="131"/>
      <c r="F32" s="39">
        <f>Inputs!F50</f>
        <v>0</v>
      </c>
      <c r="G32" s="38">
        <f>Inputs!G50</f>
        <v>0</v>
      </c>
      <c r="H32" s="36">
        <f>Inputs!H50</f>
        <v>0</v>
      </c>
      <c r="I32" s="39">
        <f t="shared" si="0"/>
        <v>0</v>
      </c>
      <c r="J32" s="37">
        <f t="shared" si="1"/>
        <v>0</v>
      </c>
      <c r="K32" s="37">
        <f t="shared" si="2"/>
        <v>0</v>
      </c>
    </row>
    <row r="33" spans="1:11" ht="54.5" customHeight="1" x14ac:dyDescent="0.35">
      <c r="A33" s="33">
        <f>Inputs!A57</f>
        <v>0</v>
      </c>
      <c r="B33" s="33">
        <f>Inputs!B57</f>
        <v>0</v>
      </c>
      <c r="C33" s="131">
        <f>Inputs!C51</f>
        <v>0</v>
      </c>
      <c r="D33" s="131"/>
      <c r="E33" s="131"/>
      <c r="F33" s="39">
        <f>Inputs!F51</f>
        <v>0</v>
      </c>
      <c r="G33" s="38">
        <f>Inputs!G51</f>
        <v>0</v>
      </c>
      <c r="H33" s="36">
        <f>Inputs!H57</f>
        <v>0</v>
      </c>
      <c r="I33" s="39">
        <f t="shared" si="0"/>
        <v>0</v>
      </c>
      <c r="J33" s="37">
        <f t="shared" si="1"/>
        <v>0</v>
      </c>
      <c r="K33" s="37">
        <f t="shared" si="2"/>
        <v>0</v>
      </c>
    </row>
    <row r="34" spans="1:11" ht="41.5" customHeight="1" x14ac:dyDescent="0.35">
      <c r="A34" s="33">
        <f>Inputs!A58</f>
        <v>0</v>
      </c>
      <c r="B34" s="33">
        <f>Inputs!B58</f>
        <v>0</v>
      </c>
      <c r="C34" s="131">
        <f>Inputs!C58</f>
        <v>0</v>
      </c>
      <c r="D34" s="131"/>
      <c r="E34" s="131"/>
      <c r="F34" s="39">
        <f>Inputs!F52</f>
        <v>0</v>
      </c>
      <c r="G34" s="38">
        <f>Inputs!G52</f>
        <v>0</v>
      </c>
      <c r="H34" s="36">
        <f>Inputs!H58</f>
        <v>0</v>
      </c>
      <c r="I34" s="39">
        <f t="shared" si="0"/>
        <v>0</v>
      </c>
      <c r="J34" s="37">
        <f t="shared" si="1"/>
        <v>0</v>
      </c>
      <c r="K34" s="37">
        <f t="shared" si="2"/>
        <v>0</v>
      </c>
    </row>
    <row r="35" spans="1:11" ht="15" customHeight="1" x14ac:dyDescent="0.35">
      <c r="A35" s="151" t="s">
        <v>42</v>
      </c>
      <c r="B35" s="151"/>
      <c r="C35" s="151"/>
      <c r="D35" s="151"/>
      <c r="E35" s="151"/>
      <c r="F35" s="151"/>
      <c r="G35" s="151"/>
      <c r="H35" s="151"/>
      <c r="I35" s="30">
        <f>SUM(I30:I34)</f>
        <v>0</v>
      </c>
      <c r="J35" s="30">
        <f>SUM(J30:J34)</f>
        <v>0</v>
      </c>
      <c r="K35" s="30">
        <f>SUM(K30:K34)</f>
        <v>0</v>
      </c>
    </row>
    <row r="36" spans="1:11" ht="10.5" customHeight="1" x14ac:dyDescent="0.35"/>
    <row r="37" spans="1:11" x14ac:dyDescent="0.35">
      <c r="A37" s="149" t="s">
        <v>25</v>
      </c>
      <c r="B37" s="149"/>
      <c r="C37" s="149"/>
      <c r="D37" s="149"/>
      <c r="E37" s="149"/>
      <c r="F37" s="149"/>
      <c r="G37" s="149"/>
      <c r="H37" s="149"/>
      <c r="I37" s="149"/>
      <c r="J37" s="149"/>
      <c r="K37" s="149"/>
    </row>
    <row r="38" spans="1:11" ht="14.25" customHeight="1" x14ac:dyDescent="0.35">
      <c r="A38" s="148"/>
      <c r="B38" s="150"/>
      <c r="C38" s="150"/>
      <c r="D38" s="150"/>
      <c r="E38" s="150"/>
      <c r="F38" s="150"/>
      <c r="G38" s="150"/>
      <c r="H38" s="150"/>
      <c r="I38" s="150"/>
      <c r="J38" s="150"/>
      <c r="K38" s="150"/>
    </row>
    <row r="39" spans="1:11" ht="5" customHeight="1" x14ac:dyDescent="0.35">
      <c r="A39" s="150"/>
      <c r="B39" s="150"/>
      <c r="C39" s="150"/>
      <c r="D39" s="150"/>
      <c r="E39" s="150"/>
      <c r="F39" s="150"/>
      <c r="G39" s="150"/>
      <c r="H39" s="150"/>
      <c r="I39" s="150"/>
      <c r="J39" s="150"/>
      <c r="K39" s="150"/>
    </row>
    <row r="40" spans="1:11" hidden="1" x14ac:dyDescent="0.35">
      <c r="A40" s="150"/>
      <c r="B40" s="150"/>
      <c r="C40" s="150"/>
      <c r="D40" s="150"/>
      <c r="E40" s="150"/>
      <c r="F40" s="150"/>
      <c r="G40" s="150"/>
      <c r="H40" s="150"/>
      <c r="I40" s="150"/>
      <c r="J40" s="150"/>
      <c r="K40" s="150"/>
    </row>
    <row r="41" spans="1:11" ht="8" hidden="1" customHeight="1" x14ac:dyDescent="0.35">
      <c r="A41" s="150"/>
      <c r="B41" s="150"/>
      <c r="C41" s="150"/>
      <c r="D41" s="150"/>
      <c r="E41" s="150"/>
      <c r="F41" s="150"/>
      <c r="G41" s="150"/>
      <c r="H41" s="150"/>
      <c r="I41" s="150"/>
      <c r="J41" s="150"/>
      <c r="K41" s="150"/>
    </row>
    <row r="42" spans="1:11" x14ac:dyDescent="0.35">
      <c r="A42" s="148" t="s">
        <v>51</v>
      </c>
      <c r="B42" s="148"/>
      <c r="C42" s="148"/>
      <c r="D42" s="148"/>
      <c r="E42" s="148"/>
      <c r="F42" s="148"/>
      <c r="G42" s="46"/>
      <c r="H42" s="46"/>
      <c r="I42" s="46"/>
      <c r="J42" s="46"/>
      <c r="K42" s="46"/>
    </row>
    <row r="43" spans="1:11" x14ac:dyDescent="0.35">
      <c r="A43" s="149" t="s">
        <v>26</v>
      </c>
      <c r="B43" s="149"/>
      <c r="C43" s="149"/>
      <c r="D43" s="149"/>
      <c r="E43" s="149"/>
      <c r="F43" s="149"/>
      <c r="G43" s="149"/>
      <c r="H43" s="149"/>
      <c r="I43" s="149"/>
      <c r="J43" s="149"/>
      <c r="K43" s="149"/>
    </row>
    <row r="44" spans="1:11" x14ac:dyDescent="0.35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</row>
    <row r="45" spans="1:11" ht="3.75" customHeight="1" x14ac:dyDescent="0.35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</row>
    <row r="46" spans="1:11" hidden="1" x14ac:dyDescent="0.3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</row>
    <row r="47" spans="1:11" hidden="1" x14ac:dyDescent="0.3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</row>
    <row r="48" spans="1:11" hidden="1" x14ac:dyDescent="0.35"/>
    <row r="49" spans="1:11" ht="15" customHeight="1" x14ac:dyDescent="0.35">
      <c r="A49" s="26"/>
      <c r="B49" s="26"/>
      <c r="C49" s="27"/>
      <c r="D49" s="27"/>
      <c r="E49" s="27" t="s">
        <v>41</v>
      </c>
      <c r="F49" s="28"/>
      <c r="G49" s="29" t="s">
        <v>36</v>
      </c>
      <c r="H49" s="147">
        <f>Inputs!F6</f>
        <v>0</v>
      </c>
      <c r="I49" s="147"/>
      <c r="J49" s="147"/>
      <c r="K49" s="147"/>
    </row>
    <row r="50" spans="1:11" x14ac:dyDescent="0.35">
      <c r="A50" s="32" t="s">
        <v>44</v>
      </c>
    </row>
    <row r="51" spans="1:11" x14ac:dyDescent="0.35">
      <c r="A51" s="144">
        <f>H49</f>
        <v>0</v>
      </c>
      <c r="B51" s="145"/>
      <c r="C51" s="145"/>
      <c r="D51" s="146" t="str">
        <f>Inputs!F7</f>
        <v>Approved By Ona Moloane</v>
      </c>
      <c r="E51" s="146"/>
      <c r="F51" s="146"/>
      <c r="G51" s="146" t="s">
        <v>45</v>
      </c>
      <c r="H51" s="146"/>
      <c r="I51" s="146"/>
    </row>
    <row r="52" spans="1:11" x14ac:dyDescent="0.35">
      <c r="A52" s="145"/>
      <c r="B52" s="145"/>
      <c r="C52" s="145"/>
      <c r="D52" s="146"/>
      <c r="E52" s="146"/>
      <c r="F52" s="146"/>
      <c r="G52" s="146"/>
      <c r="H52" s="146"/>
      <c r="I52" s="146"/>
    </row>
    <row r="53" spans="1:11" x14ac:dyDescent="0.35">
      <c r="A53" s="145"/>
      <c r="B53" s="145"/>
      <c r="C53" s="145"/>
      <c r="D53" s="146"/>
      <c r="E53" s="146"/>
      <c r="F53" s="146"/>
      <c r="G53" s="146"/>
      <c r="H53" s="146"/>
      <c r="I53" s="146"/>
    </row>
    <row r="54" spans="1:11" ht="41" customHeight="1" x14ac:dyDescent="0.35">
      <c r="A54" s="145"/>
      <c r="B54" s="145"/>
      <c r="C54" s="145"/>
      <c r="D54" s="146"/>
      <c r="E54" s="146"/>
      <c r="F54" s="146"/>
      <c r="G54" s="146"/>
      <c r="H54" s="146"/>
      <c r="I54" s="146"/>
    </row>
  </sheetData>
  <sheetProtection selectLockedCells="1" selectUnlockedCells="1"/>
  <protectedRanges>
    <protectedRange algorithmName="SHA-512" hashValue="/HgIi/ocLYyHcuGLsxuCaisO7nXGxnzKJ5hOEnGBQvRu7jkUJ9x7zyFWCKuVkZchsKHGVOKvFtZP4FNIlDU7BQ==" saltValue="a9KFjR8Sc127dpgajbdnAg==" spinCount="100000" sqref="A38:K42" name="Range1"/>
  </protectedRanges>
  <dataConsolidate/>
  <mergeCells count="64">
    <mergeCell ref="A21:B21"/>
    <mergeCell ref="A23:B23"/>
    <mergeCell ref="A26:B26"/>
    <mergeCell ref="C25:F25"/>
    <mergeCell ref="E26:F26"/>
    <mergeCell ref="C24:F24"/>
    <mergeCell ref="C23:F23"/>
    <mergeCell ref="C21:F22"/>
    <mergeCell ref="A27:B27"/>
    <mergeCell ref="C31:E31"/>
    <mergeCell ref="H25:K25"/>
    <mergeCell ref="H26:I26"/>
    <mergeCell ref="J26:K26"/>
    <mergeCell ref="C26:D26"/>
    <mergeCell ref="F9:H9"/>
    <mergeCell ref="H11:I11"/>
    <mergeCell ref="H12:I12"/>
    <mergeCell ref="H13:I13"/>
    <mergeCell ref="A9:E9"/>
    <mergeCell ref="C11:F12"/>
    <mergeCell ref="C13:F14"/>
    <mergeCell ref="H14:I14"/>
    <mergeCell ref="A16:B16"/>
    <mergeCell ref="C16:D17"/>
    <mergeCell ref="H19:I19"/>
    <mergeCell ref="H20:I20"/>
    <mergeCell ref="B19:D20"/>
    <mergeCell ref="E16:F16"/>
    <mergeCell ref="E17:F17"/>
    <mergeCell ref="E19:F20"/>
    <mergeCell ref="H16:I16"/>
    <mergeCell ref="H17:I17"/>
    <mergeCell ref="A17:B17"/>
    <mergeCell ref="J11:K11"/>
    <mergeCell ref="J13:K13"/>
    <mergeCell ref="J16:K16"/>
    <mergeCell ref="J19:K19"/>
    <mergeCell ref="C15:F15"/>
    <mergeCell ref="H15:I15"/>
    <mergeCell ref="J17:K17"/>
    <mergeCell ref="A42:F42"/>
    <mergeCell ref="A43:K43"/>
    <mergeCell ref="A38:K41"/>
    <mergeCell ref="A37:K37"/>
    <mergeCell ref="A35:H35"/>
    <mergeCell ref="A44:K47"/>
    <mergeCell ref="A51:C54"/>
    <mergeCell ref="D51:F54"/>
    <mergeCell ref="G51:I54"/>
    <mergeCell ref="H49:K49"/>
    <mergeCell ref="C33:E33"/>
    <mergeCell ref="C34:E34"/>
    <mergeCell ref="C32:E32"/>
    <mergeCell ref="J21:K21"/>
    <mergeCell ref="H27:I27"/>
    <mergeCell ref="J27:K27"/>
    <mergeCell ref="C30:E30"/>
    <mergeCell ref="E27:F27"/>
    <mergeCell ref="C29:E29"/>
    <mergeCell ref="J23:K23"/>
    <mergeCell ref="H21:I21"/>
    <mergeCell ref="H22:I22"/>
    <mergeCell ref="H23:I23"/>
    <mergeCell ref="C27:D27"/>
  </mergeCells>
  <conditionalFormatting sqref="A49:H49">
    <cfRule type="cellIs" dxfId="4" priority="25" operator="equal">
      <formula>100%</formula>
    </cfRule>
    <cfRule type="cellIs" dxfId="3" priority="26" operator="equal">
      <formula>0</formula>
    </cfRule>
  </conditionalFormatting>
  <conditionalFormatting sqref="A11:K27">
    <cfRule type="cellIs" dxfId="2" priority="1" operator="equal">
      <formula>0</formula>
    </cfRule>
  </conditionalFormatting>
  <conditionalFormatting sqref="A30:K34">
    <cfRule type="cellIs" dxfId="1" priority="2" operator="equal">
      <formula>0</formula>
    </cfRule>
    <cfRule type="cellIs" priority="4" operator="greaterThan">
      <formula>0</formula>
    </cfRule>
  </conditionalFormatting>
  <conditionalFormatting sqref="J26:K27">
    <cfRule type="cellIs" dxfId="0" priority="30" operator="equal">
      <formula>0</formula>
    </cfRule>
  </conditionalFormatting>
  <dataValidations count="1">
    <dataValidation type="list" showInputMessage="1" showErrorMessage="1" promptTitle="CHOOSE" prompt="PENALTIES APPLY TO ALL ORDERS UNLESS APPROVED IN ADVANCE" sqref="H25:K25" xr:uid="{00000000-0002-0000-0100-000000000000}">
      <formula1>$U$2:$U$3</formula1>
    </dataValidation>
  </dataValidations>
  <printOptions horizontalCentered="1" verticalCentered="1"/>
  <pageMargins left="0.85499999999999998" right="0.45" top="0.5" bottom="0.5" header="0.3" footer="0.3"/>
  <pageSetup scale="71" orientation="portrait" r:id="rId1"/>
  <headerFooter>
    <oddFooter>&amp;L&amp;"Arial,Bold"&amp;6Afrinov (Pty) Ltd&amp;"Arial,Regular"
Livingstone Complex
Unit 44, Cnr Edga &amp; 6th Road
Noordwyk, Midrand 1687 - South Africa
T+27 72 206 3920 F+27 86 743 0389
Afrinov2@gmail.com&amp;C&amp;6Registration no: 2017/009478/07&amp;RPage &amp;P of &amp;N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L14"/>
  <sheetViews>
    <sheetView workbookViewId="0">
      <selection activeCell="D8" sqref="D8"/>
    </sheetView>
  </sheetViews>
  <sheetFormatPr defaultRowHeight="14.5" x14ac:dyDescent="0.35"/>
  <cols>
    <col min="1" max="1" width="14.54296875" customWidth="1"/>
    <col min="2" max="2" width="25.7265625" customWidth="1"/>
    <col min="3" max="3" width="18.453125" customWidth="1"/>
    <col min="4" max="4" width="12.54296875" customWidth="1"/>
    <col min="5" max="5" width="12.453125" bestFit="1" customWidth="1"/>
  </cols>
  <sheetData>
    <row r="1" spans="1:12" x14ac:dyDescent="0.35">
      <c r="A1" t="s">
        <v>57</v>
      </c>
      <c r="B1" t="s">
        <v>52</v>
      </c>
      <c r="C1" t="s">
        <v>59</v>
      </c>
      <c r="D1" s="57" t="s">
        <v>55</v>
      </c>
    </row>
    <row r="2" spans="1:12" x14ac:dyDescent="0.35">
      <c r="A2" t="s">
        <v>71</v>
      </c>
      <c r="B2" t="s">
        <v>73</v>
      </c>
      <c r="C2" t="s">
        <v>67</v>
      </c>
      <c r="D2" s="57" t="s">
        <v>75</v>
      </c>
    </row>
    <row r="3" spans="1:12" x14ac:dyDescent="0.35">
      <c r="A3" t="s">
        <v>72</v>
      </c>
      <c r="B3" t="s">
        <v>74</v>
      </c>
      <c r="D3" s="57" t="s">
        <v>76</v>
      </c>
    </row>
    <row r="14" spans="1:12" x14ac:dyDescent="0.35">
      <c r="L14" s="32"/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a1636c2-57ee-4676-a68f-186e1d325c41" xsi:nil="true"/>
    <lcf76f155ced4ddcb4097134ff3c332f xmlns="1b33d56c-d3a3-4517-997d-54a71b61f7b7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A31CDC0300E74989900558F35DDCB2" ma:contentTypeVersion="15" ma:contentTypeDescription="Create a new document." ma:contentTypeScope="" ma:versionID="4581ec623acfc8a1c878bc555ec72c8c">
  <xsd:schema xmlns:xsd="http://www.w3.org/2001/XMLSchema" xmlns:xs="http://www.w3.org/2001/XMLSchema" xmlns:p="http://schemas.microsoft.com/office/2006/metadata/properties" xmlns:ns2="1b33d56c-d3a3-4517-997d-54a71b61f7b7" xmlns:ns3="da1636c2-57ee-4676-a68f-186e1d325c41" targetNamespace="http://schemas.microsoft.com/office/2006/metadata/properties" ma:root="true" ma:fieldsID="3d53da7a43f91830dc8e047875d8638d" ns2:_="" ns3:_="">
    <xsd:import namespace="1b33d56c-d3a3-4517-997d-54a71b61f7b7"/>
    <xsd:import namespace="da1636c2-57ee-4676-a68f-186e1d325c4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LengthInSeconds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33d56c-d3a3-4517-997d-54a71b61f7b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74d5e231-31cb-40b6-b69d-79dbda3344e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1636c2-57ee-4676-a68f-186e1d325c4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7d2161fa-a8d3-4ede-a106-d0ac54982587}" ma:internalName="TaxCatchAll" ma:showField="CatchAllData" ma:web="da1636c2-57ee-4676-a68f-186e1d325c4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556CECBE-A017-489A-92A2-583DCC974B9B}">
  <ds:schemaRefs>
    <ds:schemaRef ds:uri="http://schemas.microsoft.com/office/2006/documentManagement/types"/>
    <ds:schemaRef ds:uri="1b33d56c-d3a3-4517-997d-54a71b61f7b7"/>
    <ds:schemaRef ds:uri="http://purl.org/dc/terms/"/>
    <ds:schemaRef ds:uri="da1636c2-57ee-4676-a68f-186e1d325c41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6DE580E-1008-4710-898F-35899271B8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33d56c-d3a3-4517-997d-54a71b61f7b7"/>
    <ds:schemaRef ds:uri="da1636c2-57ee-4676-a68f-186e1d325c4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5156E16-A8E6-4E81-A7DC-62C5AC4B039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FDEC9CFE-CB9D-4BCE-90A3-D418787D460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Suppliers (2)</vt:lpstr>
      <vt:lpstr>Inputs</vt:lpstr>
      <vt:lpstr>Order</vt:lpstr>
      <vt:lpstr>Sheet1</vt:lpstr>
      <vt:lpstr>Order!Print_Area</vt:lpstr>
      <vt:lpstr>Order!Print_Titles</vt:lpstr>
    </vt:vector>
  </TitlesOfParts>
  <Company>Tenova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BANTUBANI Simbongile       TENOVA</dc:creator>
  <cp:lastModifiedBy>Vusi Gxoyiya</cp:lastModifiedBy>
  <cp:lastPrinted>2025-04-03T14:16:33Z</cp:lastPrinted>
  <dcterms:created xsi:type="dcterms:W3CDTF">2017-06-18T12:02:50Z</dcterms:created>
  <dcterms:modified xsi:type="dcterms:W3CDTF">2025-07-14T12:17:25Z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0x010100A1A31CDC0300E74989900558F35DDCB2</vt:lpwstr>
  </property>
  <property fmtid="{D5CDD505-2E9C-101B-9397-08002B2CF9AE}" pid="3" name="MediaServiceImageTags">
    <vt:lpwstr/>
  </property>
</Properties>
</file>