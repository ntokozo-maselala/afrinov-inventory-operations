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664d7505603b325d/Downloads/"/>
    </mc:Choice>
  </mc:AlternateContent>
  <xr:revisionPtr revIDLastSave="0" documentId="8_{EF68AE28-9359-42AF-8243-912D161BBAA9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RFQ" sheetId="1" r:id="rId1"/>
    <sheet name="Manpower Rate" sheetId="2" r:id="rId2"/>
    <sheet name="Detailed" sheetId="3" r:id="rId3"/>
  </sheets>
  <definedNames>
    <definedName name="_xlnm.Print_Area" localSheetId="0">RFQ!$A$1:$F$60</definedName>
    <definedName name="_xlnm.Print_Titles" localSheetId="0">RFQ!$1:$13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E30" i="1"/>
  <c r="E18" i="1"/>
  <c r="F18" i="1"/>
  <c r="E39" i="1"/>
  <c r="E28" i="1"/>
  <c r="E16" i="1"/>
  <c r="F24" i="1"/>
  <c r="F25" i="1"/>
  <c r="F19" i="1" l="1"/>
  <c r="F22" i="1"/>
  <c r="F20" i="1"/>
  <c r="F34" i="1"/>
  <c r="F21" i="1"/>
  <c r="F26" i="1"/>
  <c r="E19" i="1"/>
  <c r="E20" i="1"/>
  <c r="E21" i="1"/>
  <c r="E22" i="1"/>
  <c r="H39" i="1"/>
  <c r="H40" i="1" s="1"/>
  <c r="F28" i="1"/>
  <c r="D29" i="1"/>
  <c r="H29" i="1"/>
  <c r="H28" i="1"/>
  <c r="D17" i="1"/>
  <c r="F16" i="1"/>
  <c r="F17" i="1" l="1"/>
  <c r="E23" i="1"/>
  <c r="F23" i="1" s="1"/>
  <c r="E24" i="1"/>
  <c r="E25" i="1"/>
  <c r="E26" i="1"/>
  <c r="E27" i="1"/>
  <c r="E31" i="1"/>
  <c r="E32" i="1"/>
  <c r="E33" i="1"/>
  <c r="E34" i="1"/>
  <c r="E35" i="1"/>
  <c r="E36" i="1"/>
  <c r="E37" i="1"/>
  <c r="E38" i="1"/>
  <c r="E42" i="1"/>
  <c r="E43" i="1"/>
  <c r="E44" i="1"/>
  <c r="E45" i="1"/>
  <c r="E46" i="1"/>
  <c r="E47" i="1"/>
  <c r="E48" i="1"/>
  <c r="E15" i="1"/>
  <c r="F15" i="1" s="1"/>
  <c r="E49" i="1"/>
  <c r="G25" i="1" l="1"/>
  <c r="F29" i="1"/>
  <c r="F30" i="1"/>
  <c r="F31" i="1"/>
  <c r="F32" i="1"/>
  <c r="F33" i="1"/>
  <c r="F35" i="1"/>
  <c r="G37" i="1" s="1"/>
  <c r="F36" i="1"/>
  <c r="F37" i="1"/>
  <c r="F38" i="1"/>
  <c r="F39" i="1"/>
  <c r="F41" i="1"/>
  <c r="F42" i="1"/>
  <c r="F43" i="1"/>
  <c r="F44" i="1"/>
  <c r="F45" i="1"/>
  <c r="F46" i="1"/>
  <c r="F47" i="1"/>
  <c r="F48" i="1"/>
  <c r="F49" i="1"/>
  <c r="F40" i="1"/>
  <c r="A55" i="1"/>
  <c r="B11" i="1"/>
  <c r="B12" i="1" s="1"/>
  <c r="B10" i="1"/>
  <c r="B9" i="1"/>
  <c r="F50" i="1" l="1"/>
  <c r="F51" i="1" s="1"/>
  <c r="F52" i="1" s="1"/>
  <c r="G48" i="1"/>
</calcChain>
</file>

<file path=xl/sharedStrings.xml><?xml version="1.0" encoding="utf-8"?>
<sst xmlns="http://schemas.openxmlformats.org/spreadsheetml/2006/main" count="210" uniqueCount="120">
  <si>
    <t>PENALTIES APPLY TO THIS ORDER</t>
  </si>
  <si>
    <t>NO PENALTIES APPLICABLE TO THIS ORDER</t>
  </si>
  <si>
    <t>RFQ No:</t>
  </si>
  <si>
    <t>Description:</t>
  </si>
  <si>
    <t>Issued:</t>
  </si>
  <si>
    <t>Closing:</t>
  </si>
  <si>
    <t>ITEM</t>
  </si>
  <si>
    <t>DESCRIPTION</t>
  </si>
  <si>
    <t>Machine Operator</t>
  </si>
  <si>
    <t>Welder</t>
  </si>
  <si>
    <t>Boiler Maker</t>
  </si>
  <si>
    <t>Senior Welder</t>
  </si>
  <si>
    <t>Junior Welder</t>
  </si>
  <si>
    <t>Senior Turner and Fitter</t>
  </si>
  <si>
    <t>Junior Machine Operator</t>
  </si>
  <si>
    <t>Painter</t>
  </si>
  <si>
    <t>Driver</t>
  </si>
  <si>
    <t>Turner</t>
  </si>
  <si>
    <t>Instructions:</t>
  </si>
  <si>
    <t>All files for be ruturned as PDF</t>
  </si>
  <si>
    <t>REMARKS:</t>
  </si>
  <si>
    <t>Selling Rate</t>
  </si>
  <si>
    <t>Director</t>
  </si>
  <si>
    <t>Supervisor</t>
  </si>
  <si>
    <t>MAN HOURS FOR MATTE BIN</t>
  </si>
  <si>
    <t>UNITS</t>
  </si>
  <si>
    <t>QTY</t>
  </si>
  <si>
    <t>MANNING</t>
  </si>
  <si>
    <t>1.</t>
  </si>
  <si>
    <t>Spider to keep tank round</t>
  </si>
  <si>
    <t>HRS</t>
  </si>
  <si>
    <t>B/Maker+ Assistant</t>
  </si>
  <si>
    <t>2.</t>
  </si>
  <si>
    <t>Cut Angle iron to size</t>
  </si>
  <si>
    <t>B/Maker + Assistant</t>
  </si>
  <si>
    <t>3.</t>
  </si>
  <si>
    <t>Tack Spider + flange on barrel</t>
  </si>
  <si>
    <t>4.</t>
  </si>
  <si>
    <t>Chamfering  Square to round (both)</t>
  </si>
  <si>
    <t>2 Assistant</t>
  </si>
  <si>
    <t>5.</t>
  </si>
  <si>
    <t>Join square to round together and straightnig joints</t>
  </si>
  <si>
    <t>6.</t>
  </si>
  <si>
    <t>Join Barrel to square to round</t>
  </si>
  <si>
    <t>B/Maker +Assistant + Crane</t>
  </si>
  <si>
    <t>7.</t>
  </si>
  <si>
    <t>Weld the join and grind flat outside</t>
  </si>
  <si>
    <t>Welder + assistant + Crane op</t>
  </si>
  <si>
    <t>8.</t>
  </si>
  <si>
    <t>Mark lines for flanges and Gasket</t>
  </si>
  <si>
    <t>9.</t>
  </si>
  <si>
    <t>Tacking both flanges and Gaskets</t>
  </si>
  <si>
    <t>10.</t>
  </si>
  <si>
    <t>Put flange on square to round</t>
  </si>
  <si>
    <t>11.</t>
  </si>
  <si>
    <t>519 Barrel with flanges,sliders</t>
  </si>
  <si>
    <t>12.</t>
  </si>
  <si>
    <t>Weld the whole Silo + bottom box</t>
  </si>
  <si>
    <t>13.</t>
  </si>
  <si>
    <t xml:space="preserve">Grinding </t>
  </si>
  <si>
    <t>3 Assistant  + Crane operator</t>
  </si>
  <si>
    <t>14.</t>
  </si>
  <si>
    <t>Washing (Pickle Paste</t>
  </si>
  <si>
    <t>2 Assistant +Crane operator</t>
  </si>
  <si>
    <t>Item</t>
  </si>
  <si>
    <t>UNIT PRICE</t>
  </si>
  <si>
    <t>SUBTOTAL</t>
  </si>
  <si>
    <t xml:space="preserve">TOTAL AMOUNT OF PURCHASE ORDER: </t>
  </si>
  <si>
    <t>VAT</t>
  </si>
  <si>
    <t>NET VALUE</t>
  </si>
  <si>
    <t>Senior Rigger</t>
  </si>
  <si>
    <t>Rigger</t>
  </si>
  <si>
    <t xml:space="preserve">Manager </t>
  </si>
  <si>
    <t>Senior Boiler Maker</t>
  </si>
  <si>
    <t>Semi-Skilled BM</t>
  </si>
  <si>
    <t>General Assistants</t>
  </si>
  <si>
    <t>Time Based Rates</t>
  </si>
  <si>
    <t>Accountant</t>
  </si>
  <si>
    <t>Finance Clerk Intern</t>
  </si>
  <si>
    <t>Senior Procurement Officer</t>
  </si>
  <si>
    <t>Procurement Officer</t>
  </si>
  <si>
    <t>Cleaner</t>
  </si>
  <si>
    <t>Junior Mechanical Engineer</t>
  </si>
  <si>
    <t>Junior Marketing Officer</t>
  </si>
  <si>
    <t>Sales &amp; Marketing Intern</t>
  </si>
  <si>
    <t>HR Officer</t>
  </si>
  <si>
    <t>Mechanical Engineer</t>
  </si>
  <si>
    <t>Procurement Manager</t>
  </si>
  <si>
    <t>HR Manager</t>
  </si>
  <si>
    <t>Production Manager</t>
  </si>
  <si>
    <t>Admin Assistant</t>
  </si>
  <si>
    <t>SHEQ Officer</t>
  </si>
  <si>
    <t>Operations Manager</t>
  </si>
  <si>
    <t xml:space="preserve">Artisan </t>
  </si>
  <si>
    <t>Semi Skilled</t>
  </si>
  <si>
    <t xml:space="preserve">Snr Artisan </t>
  </si>
  <si>
    <t>Jnr Artisan</t>
  </si>
  <si>
    <t>General Assistant</t>
  </si>
  <si>
    <t>Workshop</t>
  </si>
  <si>
    <t>Office (Support)</t>
  </si>
  <si>
    <t>Manager</t>
  </si>
  <si>
    <t>Snr Manager</t>
  </si>
  <si>
    <t>Rate</t>
  </si>
  <si>
    <t>Admin</t>
  </si>
  <si>
    <t>Internship</t>
  </si>
  <si>
    <t>Snr Professional</t>
  </si>
  <si>
    <t>Profesional</t>
  </si>
  <si>
    <t>Jnr Professional</t>
  </si>
  <si>
    <t>Office (Core)</t>
  </si>
  <si>
    <t>Engineer</t>
  </si>
  <si>
    <t>Jnr Engineer</t>
  </si>
  <si>
    <t xml:space="preserve"> </t>
  </si>
  <si>
    <t>PC</t>
  </si>
  <si>
    <t>1. Straight pipe spool 6 Inch 6M</t>
  </si>
  <si>
    <t>2. Pipe bend/ offset assembly  2258mm &amp; 2050mm 90 deg</t>
  </si>
  <si>
    <t>3. Pipe bend/ support assembly  760mm span, 885mm run</t>
  </si>
  <si>
    <t>Ceramic Lining</t>
  </si>
  <si>
    <t>150NB Pipe Sch 40 6M</t>
  </si>
  <si>
    <t>150NB Flanges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</si>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</sst>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&quot;* #,##0.00_-;\-&quot;R&quot;* #,##0.00_-;_-&quot;R&quot;* &quot;-&quot;??_-;_-@_-"/>
    <numFmt numFmtId="164" formatCode="[$-F800]dddd\,\ mmmm\ dd\,\ yyyy"/>
    <numFmt numFmtId="165" formatCode="[$-14009]dd\ mmmm\ 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9" fontId="0" fillId="0" borderId="0" xfId="1" applyFont="1"/>
    <xf numFmtId="9" fontId="0" fillId="0" borderId="0" xfId="1" applyFont="1" applyBorder="1"/>
    <xf numFmtId="164" fontId="0" fillId="0" borderId="0" xfId="0" applyNumberFormat="1" applyAlignment="1">
      <alignment vertical="top" wrapText="1"/>
    </xf>
    <xf numFmtId="44" fontId="0" fillId="0" borderId="0" xfId="2" applyFont="1"/>
    <xf numFmtId="0" fontId="4" fillId="0" borderId="0" xfId="0" applyFont="1"/>
    <xf numFmtId="0" fontId="0" fillId="0" borderId="2" xfId="0" applyBorder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5" fillId="0" borderId="2" xfId="0" applyFont="1" applyBorder="1"/>
    <xf numFmtId="0" fontId="0" fillId="0" borderId="2" xfId="0" applyBorder="1" applyAlignment="1">
      <alignment horizontal="center"/>
    </xf>
    <xf numFmtId="44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2" xfId="0" applyFont="1" applyBorder="1" applyAlignment="1">
      <alignment horizontal="center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left" vertical="top"/>
      <protection locked="0"/>
    </xf>
    <xf numFmtId="44" fontId="0" fillId="0" borderId="2" xfId="0" applyNumberFormat="1" applyBorder="1" applyAlignment="1" applyProtection="1">
      <alignment horizontal="center" vertical="center"/>
      <protection locked="0"/>
    </xf>
    <xf numFmtId="44" fontId="6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left" vertical="top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1" fontId="0" fillId="0" borderId="0" xfId="0" applyNumberFormat="1" applyAlignment="1">
      <alignment horizontal="center" vertical="center"/>
    </xf>
    <xf numFmtId="44" fontId="2" fillId="0" borderId="2" xfId="0" applyNumberFormat="1" applyFont="1" applyBorder="1" applyAlignment="1">
      <alignment vertical="center"/>
    </xf>
    <xf numFmtId="1" fontId="0" fillId="0" borderId="0" xfId="0" applyNumberFormat="1" applyAlignment="1">
      <alignment vertical="top"/>
    </xf>
    <xf numFmtId="2" fontId="0" fillId="0" borderId="0" xfId="0" applyNumberFormat="1" applyAlignment="1">
      <alignment vertical="center"/>
    </xf>
    <xf numFmtId="0" fontId="2" fillId="0" borderId="13" xfId="0" applyFont="1" applyBorder="1"/>
    <xf numFmtId="0" fontId="2" fillId="0" borderId="14" xfId="0" applyFont="1" applyBorder="1"/>
    <xf numFmtId="0" fontId="0" fillId="0" borderId="13" xfId="0" applyBorder="1"/>
    <xf numFmtId="44" fontId="0" fillId="0" borderId="14" xfId="2" applyFont="1" applyBorder="1"/>
    <xf numFmtId="0" fontId="0" fillId="0" borderId="15" xfId="0" applyBorder="1"/>
    <xf numFmtId="0" fontId="0" fillId="0" borderId="16" xfId="0" applyBorder="1"/>
    <xf numFmtId="44" fontId="0" fillId="0" borderId="2" xfId="2" applyFont="1" applyBorder="1"/>
    <xf numFmtId="44" fontId="0" fillId="0" borderId="0" xfId="2" applyFont="1" applyBorder="1"/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44" fontId="2" fillId="0" borderId="0" xfId="0" applyNumberFormat="1" applyFont="1"/>
    <xf numFmtId="44" fontId="0" fillId="2" borderId="2" xfId="0" applyNumberFormat="1" applyFill="1" applyBorder="1" applyAlignment="1" applyProtection="1">
      <alignment horizontal="center" vertical="center"/>
      <protection locked="0"/>
    </xf>
    <xf numFmtId="44" fontId="6" fillId="2" borderId="2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165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3" fillId="0" borderId="0" xfId="0" applyFont="1" applyAlignment="1">
      <alignment horizontal="left" vertical="top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2">
    <dxf>
      <font>
        <color auto="1"/>
      </font>
    </dxf>
    <dxf>
      <fill>
        <patternFill>
          <fgColor theme="0"/>
        </patternFill>
      </fill>
    </dxf>
  </dxfs>
  <tableStyles count="1" defaultTableStyle="TableStyleMedium2" defaultPivotStyle="PivotStyleLight16">
    <tableStyle name="Table Style 1" pivot="0" count="1" xr9:uid="{00000000-0011-0000-FFFF-FFFF00000000}">
      <tableStyleElement type="wholeTabl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0</xdr:row>
      <xdr:rowOff>44824</xdr:rowOff>
    </xdr:from>
    <xdr:to>
      <xdr:col>5</xdr:col>
      <xdr:colOff>1044998</xdr:colOff>
      <xdr:row>7</xdr:row>
      <xdr:rowOff>18279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5AA075-B81F-48C7-98BD-2C01EA8CC9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863" r="19739" b="22015"/>
        <a:stretch/>
      </xdr:blipFill>
      <xdr:spPr>
        <a:xfrm>
          <a:off x="6336030" y="44824"/>
          <a:ext cx="1895125" cy="12625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L61"/>
  <sheetViews>
    <sheetView tabSelected="1" view="pageBreakPreview" topLeftCell="A3" zoomScaleNormal="100" zoomScaleSheetLayoutView="100" workbookViewId="0">
      <selection activeCell="D24" sqref="D24"/>
    </sheetView>
  </sheetViews>
  <sheetFormatPr defaultRowHeight="14.4" x14ac:dyDescent="0.55000000000000004"/>
  <cols>
    <col min="1" max="1" width="11.3125" bestFit="1" customWidth="1"/>
    <col min="2" max="2" width="50.5234375" customWidth="1"/>
    <col min="3" max="4" width="10.5234375" customWidth="1"/>
    <col min="5" max="6" width="15.5234375" customWidth="1"/>
    <col min="7" max="7" width="15.7890625" customWidth="1"/>
    <col min="8" max="8" width="11.1015625" customWidth="1"/>
    <col min="12" max="12" width="0" hidden="1" customWidth="1"/>
  </cols>
  <sheetData>
    <row r="2" spans="1:12" x14ac:dyDescent="0.55000000000000004">
      <c r="L2" t="s">
        <v>0</v>
      </c>
    </row>
    <row r="3" spans="1:12" x14ac:dyDescent="0.55000000000000004">
      <c r="L3" t="s">
        <v>1</v>
      </c>
    </row>
    <row r="9" spans="1:12" x14ac:dyDescent="0.55000000000000004">
      <c r="A9" s="23" t="s">
        <v>2</v>
      </c>
      <c r="B9" s="55" t="str">
        <f ca="1">TRIM(LEFT(SUBSTITUTE(MID(CELL("filename",A2),FIND("[",CELL("filename",A2))+1,10),".xl",REPT(" ",255)),10))</f>
        <v>AFRI-02A-1</v>
      </c>
      <c r="C9" s="55"/>
      <c r="D9" s="55"/>
      <c r="E9" s="55"/>
      <c r="F9" s="55"/>
    </row>
    <row r="10" spans="1:12" ht="16.350000000000001" customHeight="1" x14ac:dyDescent="0.55000000000000004">
      <c r="A10" s="23" t="s">
        <v>3</v>
      </c>
      <c r="B10" s="55" t="str">
        <f ca="1">TRIM(LEFT(SUBSTITUTE(MID(CELL("filename",A1),FIND("[",CELL("filename",A1))+12,255),".xl",REPT(" ",255)),255))</f>
        <v>69-02-01 Manhours and Material</v>
      </c>
      <c r="C10" s="55"/>
      <c r="D10" s="55"/>
      <c r="E10" s="55"/>
      <c r="F10" s="55"/>
      <c r="G10" s="3"/>
    </row>
    <row r="11" spans="1:12" x14ac:dyDescent="0.55000000000000004">
      <c r="A11" s="23" t="s">
        <v>4</v>
      </c>
      <c r="B11" s="54">
        <f ca="1">TODAY()</f>
        <v>46315</v>
      </c>
      <c r="C11" s="54"/>
      <c r="D11" s="54"/>
      <c r="E11" s="54"/>
      <c r="F11" s="54"/>
      <c r="G11" s="10"/>
    </row>
    <row r="12" spans="1:12" x14ac:dyDescent="0.55000000000000004">
      <c r="A12" s="23" t="s">
        <v>5</v>
      </c>
      <c r="B12" s="54">
        <f ca="1">B11+4</f>
        <v>46319</v>
      </c>
      <c r="C12" s="54"/>
      <c r="D12" s="54"/>
      <c r="E12" s="54"/>
      <c r="F12" s="54"/>
      <c r="G12" s="10"/>
    </row>
    <row r="13" spans="1:12" s="8" customFormat="1" x14ac:dyDescent="0.55000000000000004">
      <c r="A13" s="23"/>
      <c r="B13" s="55"/>
      <c r="C13" s="55"/>
      <c r="D13" s="55"/>
      <c r="E13" s="55"/>
      <c r="F13" s="55"/>
      <c r="G13" s="9"/>
    </row>
    <row r="14" spans="1:12" s="8" customFormat="1" x14ac:dyDescent="0.55000000000000004">
      <c r="A14" s="24" t="s">
        <v>6</v>
      </c>
      <c r="B14" s="6" t="s">
        <v>7</v>
      </c>
      <c r="C14" s="7" t="s">
        <v>25</v>
      </c>
      <c r="D14" s="7" t="s">
        <v>26</v>
      </c>
      <c r="E14" s="7" t="s">
        <v>65</v>
      </c>
      <c r="F14" s="7" t="s">
        <v>66</v>
      </c>
      <c r="G14" s="9"/>
    </row>
    <row r="15" spans="1:12" x14ac:dyDescent="0.55000000000000004">
      <c r="A15" s="25">
        <v>1</v>
      </c>
      <c r="B15" s="29" t="s">
        <v>113</v>
      </c>
      <c r="C15" s="43" t="s">
        <v>112</v>
      </c>
      <c r="D15" s="43">
        <v>18</v>
      </c>
      <c r="E15" s="27">
        <f>IFERROR(VLOOKUP(B15,'Manpower Rate'!A$3:B$40,2,FALSE),0)</f>
        <v>0</v>
      </c>
      <c r="F15" s="28">
        <f>E15*D15</f>
        <v>0</v>
      </c>
    </row>
    <row r="16" spans="1:12" x14ac:dyDescent="0.55000000000000004">
      <c r="A16" s="25">
        <v>2</v>
      </c>
      <c r="B16" s="26" t="s">
        <v>117</v>
      </c>
      <c r="C16" s="25" t="s">
        <v>112</v>
      </c>
      <c r="D16" s="25">
        <v>18</v>
      </c>
      <c r="E16" s="27">
        <f>507*6</f>
        <v>3042</v>
      </c>
      <c r="F16" s="28">
        <f>E16*D16</f>
        <v>54756</v>
      </c>
    </row>
    <row r="17" spans="1:9" x14ac:dyDescent="0.55000000000000004">
      <c r="A17" s="25">
        <v>3</v>
      </c>
      <c r="B17" s="26" t="s">
        <v>118</v>
      </c>
      <c r="C17" s="25" t="s">
        <v>112</v>
      </c>
      <c r="D17" s="25">
        <f>18*2</f>
        <v>36</v>
      </c>
      <c r="E17" s="27">
        <v>373.87</v>
      </c>
      <c r="F17" s="28">
        <f t="shared" ref="F17:F26" si="0">E17*D17</f>
        <v>13459.32</v>
      </c>
    </row>
    <row r="18" spans="1:9" x14ac:dyDescent="0.55000000000000004">
      <c r="A18" s="25">
        <v>4</v>
      </c>
      <c r="B18" s="26" t="s">
        <v>116</v>
      </c>
      <c r="C18" s="25" t="s">
        <v>112</v>
      </c>
      <c r="D18" s="25">
        <v>18</v>
      </c>
      <c r="E18" s="46">
        <f>14080*0.93</f>
        <v>13094.400000000001</v>
      </c>
      <c r="F18" s="47">
        <f>E18*D18</f>
        <v>235699.20000000001</v>
      </c>
    </row>
    <row r="19" spans="1:9" x14ac:dyDescent="0.55000000000000004">
      <c r="A19" s="25">
        <v>5</v>
      </c>
      <c r="B19" s="26" t="s">
        <v>10</v>
      </c>
      <c r="C19" s="25" t="s">
        <v>30</v>
      </c>
      <c r="D19" s="25">
        <v>9</v>
      </c>
      <c r="E19" s="27">
        <f>IFERROR(VLOOKUP(B19,'Manpower Rate'!A$3:B$40,2,FALSE),0)</f>
        <v>300</v>
      </c>
      <c r="F19" s="28">
        <f t="shared" si="0"/>
        <v>2700</v>
      </c>
    </row>
    <row r="20" spans="1:9" x14ac:dyDescent="0.55000000000000004">
      <c r="A20" s="25">
        <v>6</v>
      </c>
      <c r="B20" s="26" t="s">
        <v>75</v>
      </c>
      <c r="C20" s="25" t="s">
        <v>30</v>
      </c>
      <c r="D20" s="25">
        <v>18</v>
      </c>
      <c r="E20" s="27">
        <f>IFERROR(VLOOKUP(B20,'Manpower Rate'!A$3:B$40,2,FALSE),0)</f>
        <v>150</v>
      </c>
      <c r="F20" s="28">
        <f t="shared" si="0"/>
        <v>2700</v>
      </c>
    </row>
    <row r="21" spans="1:9" x14ac:dyDescent="0.55000000000000004">
      <c r="A21" s="25">
        <v>7</v>
      </c>
      <c r="B21" s="26" t="s">
        <v>9</v>
      </c>
      <c r="C21" s="25" t="s">
        <v>30</v>
      </c>
      <c r="D21" s="25">
        <v>9</v>
      </c>
      <c r="E21" s="27">
        <f>IFERROR(VLOOKUP(B21,'Manpower Rate'!A$3:B$40,2,FALSE),0)</f>
        <v>400</v>
      </c>
      <c r="F21" s="28">
        <f t="shared" si="0"/>
        <v>3600</v>
      </c>
    </row>
    <row r="22" spans="1:9" x14ac:dyDescent="0.55000000000000004">
      <c r="A22" s="25">
        <v>8</v>
      </c>
      <c r="B22" s="26" t="s">
        <v>15</v>
      </c>
      <c r="C22" s="25" t="s">
        <v>30</v>
      </c>
      <c r="D22" s="25">
        <v>8</v>
      </c>
      <c r="E22" s="27">
        <f>IFERROR(VLOOKUP(B22,'Manpower Rate'!A$3:B$40,2,FALSE),0)</f>
        <v>250</v>
      </c>
      <c r="F22" s="28">
        <f t="shared" si="0"/>
        <v>2000</v>
      </c>
    </row>
    <row r="23" spans="1:9" x14ac:dyDescent="0.55000000000000004">
      <c r="A23" s="25">
        <v>9</v>
      </c>
      <c r="B23" s="26" t="s">
        <v>86</v>
      </c>
      <c r="C23" s="25" t="s">
        <v>30</v>
      </c>
      <c r="D23" s="25">
        <v>0.5</v>
      </c>
      <c r="E23" s="27">
        <f>IFERROR(VLOOKUP(B23,'Manpower Rate'!A$3:B$40,2,FALSE),0)</f>
        <v>600</v>
      </c>
      <c r="F23" s="28">
        <f t="shared" si="0"/>
        <v>300</v>
      </c>
    </row>
    <row r="24" spans="1:9" x14ac:dyDescent="0.55000000000000004">
      <c r="A24" s="25">
        <v>10</v>
      </c>
      <c r="B24" s="26" t="s">
        <v>80</v>
      </c>
      <c r="C24" s="25" t="s">
        <v>30</v>
      </c>
      <c r="D24" s="25">
        <v>0.5</v>
      </c>
      <c r="E24" s="27">
        <f>IFERROR(VLOOKUP(B24,'Manpower Rate'!A$3:B$40,2,FALSE),0)</f>
        <v>300</v>
      </c>
      <c r="F24" s="28">
        <f t="shared" si="0"/>
        <v>150</v>
      </c>
    </row>
    <row r="25" spans="1:9" x14ac:dyDescent="0.55000000000000004">
      <c r="A25" s="25">
        <v>11</v>
      </c>
      <c r="B25" s="26" t="s">
        <v>78</v>
      </c>
      <c r="C25" s="25" t="s">
        <v>30</v>
      </c>
      <c r="D25" s="25">
        <v>0.5</v>
      </c>
      <c r="E25" s="27">
        <f>IFERROR(VLOOKUP(B25,'Manpower Rate'!A$3:B$40,2,FALSE),0)</f>
        <v>150</v>
      </c>
      <c r="F25" s="28">
        <f t="shared" si="0"/>
        <v>75</v>
      </c>
      <c r="G25" s="45">
        <f>SUM(F16:F25)</f>
        <v>315439.52</v>
      </c>
    </row>
    <row r="26" spans="1:9" x14ac:dyDescent="0.55000000000000004">
      <c r="A26" s="25">
        <v>12</v>
      </c>
      <c r="B26" s="26"/>
      <c r="C26" s="25"/>
      <c r="D26" s="25"/>
      <c r="E26" s="27">
        <f>IFERROR(VLOOKUP(B26,'Manpower Rate'!A$3:B$40,2,FALSE),0)</f>
        <v>0</v>
      </c>
      <c r="F26" s="28">
        <f t="shared" si="0"/>
        <v>0</v>
      </c>
    </row>
    <row r="27" spans="1:9" x14ac:dyDescent="0.55000000000000004">
      <c r="A27" s="25">
        <v>13</v>
      </c>
      <c r="B27" s="29" t="s">
        <v>114</v>
      </c>
      <c r="C27" s="43" t="s">
        <v>112</v>
      </c>
      <c r="D27" s="43">
        <v>16</v>
      </c>
      <c r="E27" s="27">
        <f>IFERROR(VLOOKUP(B27,'Manpower Rate'!A$3:B$40,2,FALSE),0)</f>
        <v>0</v>
      </c>
      <c r="F27" s="28"/>
    </row>
    <row r="28" spans="1:9" x14ac:dyDescent="0.55000000000000004">
      <c r="A28" s="25">
        <v>14</v>
      </c>
      <c r="B28" s="26" t="s">
        <v>117</v>
      </c>
      <c r="C28" s="25" t="s">
        <v>112</v>
      </c>
      <c r="D28" s="25">
        <v>8</v>
      </c>
      <c r="E28" s="27">
        <f>507*6</f>
        <v>3042</v>
      </c>
      <c r="F28" s="28">
        <f>E28*D28</f>
        <v>24336</v>
      </c>
      <c r="H28">
        <f>2*437.23+2*462.88+2*451.56</f>
        <v>2703.34</v>
      </c>
      <c r="I28" t="s">
        <v>119</v>
      </c>
    </row>
    <row r="29" spans="1:9" x14ac:dyDescent="0.55000000000000004">
      <c r="A29" s="25">
        <v>15</v>
      </c>
      <c r="B29" s="26" t="s">
        <v>118</v>
      </c>
      <c r="C29" s="25" t="s">
        <v>112</v>
      </c>
      <c r="D29" s="25">
        <f>16*2</f>
        <v>32</v>
      </c>
      <c r="E29" s="27">
        <v>373.87</v>
      </c>
      <c r="F29" s="28">
        <f t="shared" ref="F29:F49" si="1">E29*D29</f>
        <v>11963.84</v>
      </c>
      <c r="H29">
        <f>H28*D27</f>
        <v>43253.440000000002</v>
      </c>
      <c r="I29" t="s">
        <v>119</v>
      </c>
    </row>
    <row r="30" spans="1:9" x14ac:dyDescent="0.55000000000000004">
      <c r="A30" s="25">
        <v>16</v>
      </c>
      <c r="B30" s="26" t="s">
        <v>116</v>
      </c>
      <c r="C30" s="25" t="s">
        <v>112</v>
      </c>
      <c r="D30" s="25">
        <v>16</v>
      </c>
      <c r="E30" s="46">
        <f>6900*0.93</f>
        <v>6417</v>
      </c>
      <c r="F30" s="47">
        <f t="shared" si="1"/>
        <v>102672</v>
      </c>
    </row>
    <row r="31" spans="1:9" x14ac:dyDescent="0.55000000000000004">
      <c r="A31" s="25">
        <v>17</v>
      </c>
      <c r="B31" s="26" t="s">
        <v>10</v>
      </c>
      <c r="C31" s="25" t="s">
        <v>30</v>
      </c>
      <c r="D31" s="25">
        <v>16</v>
      </c>
      <c r="E31" s="27">
        <f>IFERROR(VLOOKUP(B31,'Manpower Rate'!A$3:B$40,2,FALSE),0)</f>
        <v>300</v>
      </c>
      <c r="F31" s="28">
        <f t="shared" si="1"/>
        <v>4800</v>
      </c>
    </row>
    <row r="32" spans="1:9" x14ac:dyDescent="0.55000000000000004">
      <c r="A32" s="25">
        <v>18</v>
      </c>
      <c r="B32" s="26" t="s">
        <v>75</v>
      </c>
      <c r="C32" s="25" t="s">
        <v>30</v>
      </c>
      <c r="D32" s="25">
        <v>16</v>
      </c>
      <c r="E32" s="27">
        <f>IFERROR(VLOOKUP(B32,'Manpower Rate'!A$3:B$40,2,FALSE),0)</f>
        <v>150</v>
      </c>
      <c r="F32" s="28">
        <f t="shared" si="1"/>
        <v>2400</v>
      </c>
    </row>
    <row r="33" spans="1:9" x14ac:dyDescent="0.55000000000000004">
      <c r="A33" s="25">
        <v>19</v>
      </c>
      <c r="B33" s="26" t="s">
        <v>9</v>
      </c>
      <c r="C33" s="25" t="s">
        <v>30</v>
      </c>
      <c r="D33" s="25">
        <v>16</v>
      </c>
      <c r="E33" s="27">
        <f>IFERROR(VLOOKUP(B33,'Manpower Rate'!A$3:B$40,2,FALSE),0)</f>
        <v>400</v>
      </c>
      <c r="F33" s="28">
        <f t="shared" si="1"/>
        <v>6400</v>
      </c>
    </row>
    <row r="34" spans="1:9" x14ac:dyDescent="0.55000000000000004">
      <c r="A34" s="25">
        <v>20</v>
      </c>
      <c r="B34" s="26" t="s">
        <v>15</v>
      </c>
      <c r="C34" s="25" t="s">
        <v>30</v>
      </c>
      <c r="D34" s="30">
        <v>8</v>
      </c>
      <c r="E34" s="27">
        <f>IFERROR(VLOOKUP(B34,'Manpower Rate'!A$3:B$40,2,FALSE),0)</f>
        <v>250</v>
      </c>
      <c r="F34" s="28">
        <f t="shared" si="1"/>
        <v>2000</v>
      </c>
    </row>
    <row r="35" spans="1:9" x14ac:dyDescent="0.55000000000000004">
      <c r="A35" s="25">
        <v>21</v>
      </c>
      <c r="B35" s="26" t="s">
        <v>86</v>
      </c>
      <c r="C35" s="25" t="s">
        <v>30</v>
      </c>
      <c r="D35" s="25">
        <v>2</v>
      </c>
      <c r="E35" s="27">
        <f>IFERROR(VLOOKUP(B35,'Manpower Rate'!A$3:B$40,2,FALSE),0)</f>
        <v>600</v>
      </c>
      <c r="F35" s="28">
        <f t="shared" si="1"/>
        <v>1200</v>
      </c>
      <c r="G35" s="22"/>
    </row>
    <row r="36" spans="1:9" s="19" customFormat="1" x14ac:dyDescent="0.55000000000000004">
      <c r="A36" s="25">
        <v>22</v>
      </c>
      <c r="B36" s="26" t="s">
        <v>80</v>
      </c>
      <c r="C36" s="25" t="s">
        <v>30</v>
      </c>
      <c r="D36" s="25">
        <v>0.5</v>
      </c>
      <c r="E36" s="27">
        <f>IFERROR(VLOOKUP(B36,'Manpower Rate'!A$3:B$40,2,FALSE),0)</f>
        <v>300</v>
      </c>
      <c r="F36" s="28">
        <f t="shared" si="1"/>
        <v>150</v>
      </c>
      <c r="G36" s="4"/>
    </row>
    <row r="37" spans="1:9" s="19" customFormat="1" x14ac:dyDescent="0.55000000000000004">
      <c r="A37" s="25">
        <v>23</v>
      </c>
      <c r="B37" s="26" t="s">
        <v>78</v>
      </c>
      <c r="C37" s="25" t="s">
        <v>30</v>
      </c>
      <c r="D37" s="25">
        <v>0.5</v>
      </c>
      <c r="E37" s="27">
        <f>IFERROR(VLOOKUP(B37,'Manpower Rate'!A$3:B$40,2,FALSE),0)</f>
        <v>150</v>
      </c>
      <c r="F37" s="28">
        <f t="shared" si="1"/>
        <v>75</v>
      </c>
      <c r="G37" s="45">
        <f>SUM(F28:F37)</f>
        <v>155996.84</v>
      </c>
    </row>
    <row r="38" spans="1:9" x14ac:dyDescent="0.55000000000000004">
      <c r="A38" s="25">
        <v>24</v>
      </c>
      <c r="B38" s="29" t="s">
        <v>115</v>
      </c>
      <c r="C38" s="44" t="s">
        <v>112</v>
      </c>
      <c r="D38" s="44">
        <v>4</v>
      </c>
      <c r="E38" s="27">
        <f>IFERROR(VLOOKUP(B38,'Manpower Rate'!A$3:B$40,2,FALSE),0)</f>
        <v>0</v>
      </c>
      <c r="F38" s="28">
        <f t="shared" si="1"/>
        <v>0</v>
      </c>
      <c r="G38" s="4"/>
    </row>
    <row r="39" spans="1:9" x14ac:dyDescent="0.55000000000000004">
      <c r="A39" s="25">
        <v>25</v>
      </c>
      <c r="B39" s="26" t="s">
        <v>117</v>
      </c>
      <c r="C39" s="30" t="s">
        <v>112</v>
      </c>
      <c r="D39" s="30">
        <v>1</v>
      </c>
      <c r="E39" s="27">
        <f>507*6</f>
        <v>3042</v>
      </c>
      <c r="F39" s="28">
        <f t="shared" si="1"/>
        <v>3042</v>
      </c>
      <c r="G39" s="4"/>
      <c r="H39">
        <f>740+2*128</f>
        <v>996</v>
      </c>
      <c r="I39" t="s">
        <v>119</v>
      </c>
    </row>
    <row r="40" spans="1:9" x14ac:dyDescent="0.55000000000000004">
      <c r="A40" s="25">
        <v>26</v>
      </c>
      <c r="B40" s="26" t="s">
        <v>118</v>
      </c>
      <c r="C40" s="30" t="s">
        <v>112</v>
      </c>
      <c r="D40" s="30">
        <v>8</v>
      </c>
      <c r="E40" s="27">
        <v>373.87</v>
      </c>
      <c r="F40" s="28">
        <f t="shared" si="1"/>
        <v>2990.96</v>
      </c>
      <c r="G40" s="4"/>
      <c r="H40">
        <f>H39*D38</f>
        <v>3984</v>
      </c>
      <c r="I40" t="s">
        <v>119</v>
      </c>
    </row>
    <row r="41" spans="1:9" x14ac:dyDescent="0.55000000000000004">
      <c r="A41" s="25">
        <v>27</v>
      </c>
      <c r="B41" s="26" t="s">
        <v>116</v>
      </c>
      <c r="C41" s="30" t="s">
        <v>112</v>
      </c>
      <c r="D41" s="30">
        <v>4</v>
      </c>
      <c r="E41" s="46">
        <f>2200*0.93</f>
        <v>2046</v>
      </c>
      <c r="F41" s="47">
        <f t="shared" si="1"/>
        <v>8184</v>
      </c>
      <c r="G41" s="4"/>
    </row>
    <row r="42" spans="1:9" x14ac:dyDescent="0.55000000000000004">
      <c r="A42" s="25">
        <v>28</v>
      </c>
      <c r="B42" s="26" t="s">
        <v>10</v>
      </c>
      <c r="C42" s="30" t="s">
        <v>30</v>
      </c>
      <c r="D42" s="30">
        <v>4</v>
      </c>
      <c r="E42" s="27">
        <f>IFERROR(VLOOKUP(B42,'Manpower Rate'!A$3:B$40,2,FALSE),0)</f>
        <v>300</v>
      </c>
      <c r="F42" s="28">
        <f t="shared" si="1"/>
        <v>1200</v>
      </c>
      <c r="G42" s="4"/>
    </row>
    <row r="43" spans="1:9" x14ac:dyDescent="0.55000000000000004">
      <c r="A43" s="25">
        <v>29</v>
      </c>
      <c r="B43" s="26" t="s">
        <v>75</v>
      </c>
      <c r="C43" s="30" t="s">
        <v>30</v>
      </c>
      <c r="D43" s="30">
        <v>4</v>
      </c>
      <c r="E43" s="27">
        <f>IFERROR(VLOOKUP(B43,'Manpower Rate'!A$3:B$40,2,FALSE),0)</f>
        <v>150</v>
      </c>
      <c r="F43" s="28">
        <f t="shared" si="1"/>
        <v>600</v>
      </c>
      <c r="G43" s="4"/>
    </row>
    <row r="44" spans="1:9" x14ac:dyDescent="0.55000000000000004">
      <c r="A44" s="25">
        <v>30</v>
      </c>
      <c r="B44" s="26" t="s">
        <v>9</v>
      </c>
      <c r="C44" s="30" t="s">
        <v>30</v>
      </c>
      <c r="D44" s="30">
        <v>4</v>
      </c>
      <c r="E44" s="27">
        <f>IFERROR(VLOOKUP(B44,'Manpower Rate'!A$3:B$40,2,FALSE),0)</f>
        <v>400</v>
      </c>
      <c r="F44" s="28">
        <f t="shared" si="1"/>
        <v>1600</v>
      </c>
      <c r="G44" s="4"/>
    </row>
    <row r="45" spans="1:9" x14ac:dyDescent="0.55000000000000004">
      <c r="A45" s="25">
        <v>31</v>
      </c>
      <c r="B45" s="26" t="s">
        <v>15</v>
      </c>
      <c r="C45" s="30" t="s">
        <v>30</v>
      </c>
      <c r="D45" s="30">
        <v>2</v>
      </c>
      <c r="E45" s="27">
        <f>IFERROR(VLOOKUP(B45,'Manpower Rate'!A$3:B$40,2,FALSE),0)</f>
        <v>250</v>
      </c>
      <c r="F45" s="28">
        <f t="shared" si="1"/>
        <v>500</v>
      </c>
      <c r="G45" s="4"/>
    </row>
    <row r="46" spans="1:9" ht="15" customHeight="1" x14ac:dyDescent="0.55000000000000004">
      <c r="A46" s="25">
        <v>32</v>
      </c>
      <c r="B46" s="26" t="s">
        <v>86</v>
      </c>
      <c r="C46" s="25" t="s">
        <v>30</v>
      </c>
      <c r="D46" s="25">
        <v>2</v>
      </c>
      <c r="E46" s="27">
        <f>IFERROR(VLOOKUP(B46,'Manpower Rate'!A$3:B$40,2,FALSE),0)</f>
        <v>600</v>
      </c>
      <c r="F46" s="28">
        <f t="shared" si="1"/>
        <v>1200</v>
      </c>
      <c r="G46" s="4"/>
    </row>
    <row r="47" spans="1:9" x14ac:dyDescent="0.55000000000000004">
      <c r="A47" s="25">
        <v>33</v>
      </c>
      <c r="B47" s="26" t="s">
        <v>80</v>
      </c>
      <c r="C47" s="25" t="s">
        <v>30</v>
      </c>
      <c r="D47" s="25">
        <v>0.5</v>
      </c>
      <c r="E47" s="27">
        <f>IFERROR(VLOOKUP(B47,'Manpower Rate'!A$3:B$40,2,FALSE),0)</f>
        <v>300</v>
      </c>
      <c r="F47" s="28">
        <f t="shared" si="1"/>
        <v>150</v>
      </c>
      <c r="G47" s="4"/>
    </row>
    <row r="48" spans="1:9" x14ac:dyDescent="0.55000000000000004">
      <c r="A48" s="25">
        <v>34</v>
      </c>
      <c r="B48" s="26" t="s">
        <v>78</v>
      </c>
      <c r="C48" s="25" t="s">
        <v>30</v>
      </c>
      <c r="D48" s="25">
        <v>0.5</v>
      </c>
      <c r="E48" s="27">
        <f>IFERROR(VLOOKUP(B48,'Manpower Rate'!A$3:B$40,2,FALSE),0)</f>
        <v>150</v>
      </c>
      <c r="F48" s="28">
        <f t="shared" si="1"/>
        <v>75</v>
      </c>
      <c r="G48" s="45">
        <f>SUM(F39:F48)</f>
        <v>19541.96</v>
      </c>
    </row>
    <row r="49" spans="1:7" x14ac:dyDescent="0.55000000000000004">
      <c r="A49" s="25">
        <v>35</v>
      </c>
      <c r="B49" s="26"/>
      <c r="C49" s="30"/>
      <c r="D49" s="30"/>
      <c r="E49" s="27">
        <f>IFERROR(VLOOKUP(B49,'Manpower Rate'!A$3:B$20,4,FALSE),0)</f>
        <v>0</v>
      </c>
      <c r="F49" s="28">
        <f t="shared" si="1"/>
        <v>0</v>
      </c>
      <c r="G49" s="31"/>
    </row>
    <row r="50" spans="1:7" ht="15" customHeight="1" x14ac:dyDescent="0.55000000000000004">
      <c r="A50" s="56" t="s">
        <v>67</v>
      </c>
      <c r="B50" s="57"/>
      <c r="C50" s="57"/>
      <c r="D50" s="57"/>
      <c r="E50" s="58"/>
      <c r="F50" s="32">
        <f>SUM(F15:F49)</f>
        <v>490978.32000000007</v>
      </c>
      <c r="G50" s="33"/>
    </row>
    <row r="51" spans="1:7" x14ac:dyDescent="0.55000000000000004">
      <c r="A51" s="56" t="s">
        <v>68</v>
      </c>
      <c r="B51" s="57"/>
      <c r="C51" s="57"/>
      <c r="D51" s="57"/>
      <c r="E51" s="58"/>
      <c r="F51" s="32">
        <f>F50*0.15</f>
        <v>73646.748000000007</v>
      </c>
      <c r="G51" s="33"/>
    </row>
    <row r="52" spans="1:7" ht="15" customHeight="1" x14ac:dyDescent="0.55000000000000004">
      <c r="A52" s="56" t="s">
        <v>69</v>
      </c>
      <c r="B52" s="57"/>
      <c r="C52" s="57"/>
      <c r="D52" s="57"/>
      <c r="E52" s="58"/>
      <c r="F52" s="32">
        <f>F51+F50</f>
        <v>564625.06800000009</v>
      </c>
      <c r="G52" s="5"/>
    </row>
    <row r="53" spans="1:7" ht="15" customHeight="1" x14ac:dyDescent="0.55000000000000004">
      <c r="A53" s="19"/>
      <c r="B53" s="19"/>
      <c r="C53" s="3"/>
      <c r="D53" s="3"/>
      <c r="E53" s="3"/>
      <c r="F53" s="34"/>
      <c r="G53" s="5"/>
    </row>
    <row r="54" spans="1:7" x14ac:dyDescent="0.55000000000000004">
      <c r="A54" s="23" t="s">
        <v>18</v>
      </c>
      <c r="G54" s="10"/>
    </row>
    <row r="55" spans="1:7" ht="10.35" customHeight="1" x14ac:dyDescent="0.55000000000000004">
      <c r="A55" s="59" t="str">
        <f>CONCATENATE("Fill: ",A14,", ",B14,", ",C14,", ",D14,", ",E14,"&amp; ",F14," as per the headings below and save as PDF")</f>
        <v>Fill: ITEM, DESCRIPTION, UNITS, QTY, UNIT PRICE&amp; SUBTOTAL as per the headings below and save as PDF</v>
      </c>
      <c r="B55" s="59"/>
      <c r="C55" s="59"/>
      <c r="D55" s="59"/>
      <c r="E55" s="59"/>
      <c r="F55" s="59"/>
      <c r="G55" s="5"/>
    </row>
    <row r="56" spans="1:7" ht="10.35" customHeight="1" x14ac:dyDescent="0.55000000000000004">
      <c r="A56" s="59" t="s">
        <v>19</v>
      </c>
      <c r="B56" s="59"/>
      <c r="C56" s="59"/>
      <c r="D56" s="59"/>
      <c r="E56" s="59"/>
      <c r="F56" s="59"/>
      <c r="G56" s="5"/>
    </row>
    <row r="57" spans="1:7" ht="15" customHeight="1" x14ac:dyDescent="0.55000000000000004">
      <c r="A57" s="20"/>
      <c r="B57" s="20"/>
      <c r="C57" s="20"/>
      <c r="D57" s="20"/>
      <c r="E57" s="20"/>
      <c r="F57" s="20"/>
      <c r="G57" s="5"/>
    </row>
    <row r="58" spans="1:7" x14ac:dyDescent="0.55000000000000004">
      <c r="A58" s="1" t="s">
        <v>20</v>
      </c>
      <c r="B58" s="1"/>
      <c r="C58" s="1"/>
      <c r="D58" s="1"/>
      <c r="E58" s="1"/>
      <c r="F58" s="21"/>
      <c r="G58" s="4"/>
    </row>
    <row r="59" spans="1:7" x14ac:dyDescent="0.55000000000000004">
      <c r="A59" s="48"/>
      <c r="B59" s="49"/>
      <c r="C59" s="49"/>
      <c r="D59" s="49"/>
      <c r="E59" s="49"/>
      <c r="F59" s="50"/>
      <c r="G59" s="1"/>
    </row>
    <row r="60" spans="1:7" x14ac:dyDescent="0.55000000000000004">
      <c r="A60" s="51"/>
      <c r="B60" s="52"/>
      <c r="C60" s="52"/>
      <c r="D60" s="52"/>
      <c r="E60" s="52"/>
      <c r="F60" s="53"/>
      <c r="G60" s="2"/>
    </row>
    <row r="61" spans="1:7" x14ac:dyDescent="0.55000000000000004">
      <c r="G61" s="2"/>
    </row>
  </sheetData>
  <sheetProtection formatRows="0" insertColumns="0" insertRows="0" insertHyperlinks="0" deleteColumns="0" deleteRows="0" sort="0" autoFilter="0" pivotTables="0"/>
  <protectedRanges>
    <protectedRange algorithmName="SHA-512" hashValue="8uVkjc+r4Ksyvm2PDMGXI7ABFaWnEHpkJ1aWEQCkWLEQXiDQoC7Nd0LjprNdObRYL95AW6G2O8WzqlcoxaU7uA==" saltValue="KNTCbeQaUMsHl8cKfgEkxw==" spinCount="100000" sqref="A14:XFD49" name="editing_1"/>
  </protectedRanges>
  <dataConsolidate/>
  <mergeCells count="11">
    <mergeCell ref="B9:F9"/>
    <mergeCell ref="B10:F10"/>
    <mergeCell ref="B11:F11"/>
    <mergeCell ref="A55:F55"/>
    <mergeCell ref="A56:F56"/>
    <mergeCell ref="A59:F60"/>
    <mergeCell ref="B12:F12"/>
    <mergeCell ref="B13:F13"/>
    <mergeCell ref="A50:E50"/>
    <mergeCell ref="A51:E51"/>
    <mergeCell ref="A52:E52"/>
  </mergeCells>
  <conditionalFormatting sqref="F15:F49">
    <cfRule type="cellIs" dxfId="0" priority="1" operator="greaterThan">
      <formula>0</formula>
    </cfRule>
  </conditionalFormatting>
  <dataValidations count="1">
    <dataValidation type="list" allowBlank="1" showInputMessage="1" showErrorMessage="1" sqref="C15:C49" xr:uid="{A8A11EB2-F464-46BB-914D-7C2231EC260E}">
      <formula1>"HRS, LOTS, PC, DAYS, ADD"</formula1>
    </dataValidation>
  </dataValidations>
  <printOptions horizontalCentered="1" verticalCentered="1"/>
  <pageMargins left="0.43307086614173229" right="0.43307086614173229" top="0.51181102362204722" bottom="0.51181102362204722" header="0.31496062992125984" footer="0.31496062992125984"/>
  <pageSetup paperSize="9" scale="80" orientation="portrait" r:id="rId1"/>
  <headerFooter>
    <oddHeader>&amp;C&amp;A</oddHeader>
    <oddFooter>&amp;L&amp;"Arial,Bold"&amp;6Afrinov (Pty) Ltd&amp;"Arial,Regular"
Livingstone Complex
Unit 44, Cnr Edga &amp; 6th Road
Noordwyk, Midrand 1687 - South Africa
T+27 72 206 3920 F+27 86 743 0389
Afrinov2@gmail.com&amp;C&amp;6Registration no: 2017/009478/07&amp;RPage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F695C20-694B-49FE-BBC9-98853E7F75B8}">
          <x14:formula1>
            <xm:f>'Manpower Rate'!$A$3:$A$40</xm:f>
          </x14:formula1>
          <xm:sqref>B15:B49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2690-336D-4182-83D9-5BA488326328}">
  <sheetPr codeName="Sheet2"/>
  <dimension ref="A1:I39"/>
  <sheetViews>
    <sheetView workbookViewId="0">
      <selection sqref="A1:XFD1048576"/>
    </sheetView>
  </sheetViews>
  <sheetFormatPr defaultRowHeight="14.4" x14ac:dyDescent="0.55000000000000004"/>
  <cols>
    <col min="1" max="1" width="28.41796875" customWidth="1"/>
    <col min="2" max="2" width="17.3125" customWidth="1"/>
    <col min="4" max="4" width="17.3125" customWidth="1"/>
    <col min="5" max="5" width="12.5234375" customWidth="1"/>
    <col min="6" max="6" width="20.68359375" customWidth="1"/>
    <col min="7" max="7" width="12" customWidth="1"/>
    <col min="8" max="8" width="13.5234375" customWidth="1"/>
    <col min="9" max="9" width="15.3125" customWidth="1"/>
  </cols>
  <sheetData>
    <row r="1" spans="1:9" x14ac:dyDescent="0.55000000000000004">
      <c r="A1" s="60" t="s">
        <v>76</v>
      </c>
      <c r="B1" s="61"/>
      <c r="D1" s="14" t="s">
        <v>98</v>
      </c>
      <c r="E1" s="14" t="s">
        <v>102</v>
      </c>
      <c r="F1" s="14" t="s">
        <v>99</v>
      </c>
      <c r="G1" s="14" t="s">
        <v>102</v>
      </c>
      <c r="H1" s="14" t="s">
        <v>108</v>
      </c>
      <c r="I1" s="14" t="s">
        <v>102</v>
      </c>
    </row>
    <row r="2" spans="1:9" x14ac:dyDescent="0.55000000000000004">
      <c r="A2" s="35"/>
      <c r="B2" s="36" t="s">
        <v>21</v>
      </c>
      <c r="D2" s="13" t="s">
        <v>95</v>
      </c>
      <c r="E2" s="41">
        <v>400</v>
      </c>
      <c r="F2" s="13" t="s">
        <v>100</v>
      </c>
      <c r="G2" s="41">
        <v>800</v>
      </c>
      <c r="H2" s="13" t="s">
        <v>22</v>
      </c>
      <c r="I2" s="41">
        <v>1800</v>
      </c>
    </row>
    <row r="3" spans="1:9" x14ac:dyDescent="0.55000000000000004">
      <c r="A3" s="37" t="s">
        <v>22</v>
      </c>
      <c r="B3" s="38">
        <v>1800</v>
      </c>
      <c r="D3" s="13" t="s">
        <v>93</v>
      </c>
      <c r="E3" s="41">
        <v>300</v>
      </c>
      <c r="F3" s="13" t="s">
        <v>105</v>
      </c>
      <c r="G3" s="41">
        <v>400</v>
      </c>
      <c r="H3" s="13" t="s">
        <v>109</v>
      </c>
      <c r="I3" s="41">
        <v>600</v>
      </c>
    </row>
    <row r="4" spans="1:9" x14ac:dyDescent="0.55000000000000004">
      <c r="A4" s="37" t="s">
        <v>72</v>
      </c>
      <c r="B4" s="38">
        <v>800</v>
      </c>
      <c r="D4" s="13" t="s">
        <v>96</v>
      </c>
      <c r="E4" s="41">
        <v>250</v>
      </c>
      <c r="F4" s="13" t="s">
        <v>106</v>
      </c>
      <c r="G4" s="41">
        <v>300</v>
      </c>
      <c r="H4" s="13" t="s">
        <v>110</v>
      </c>
      <c r="I4" s="41">
        <v>400</v>
      </c>
    </row>
    <row r="5" spans="1:9" x14ac:dyDescent="0.55000000000000004">
      <c r="A5" s="37" t="s">
        <v>23</v>
      </c>
      <c r="B5" s="38">
        <v>500</v>
      </c>
      <c r="D5" s="13" t="s">
        <v>94</v>
      </c>
      <c r="E5" s="41">
        <v>200</v>
      </c>
      <c r="F5" s="13" t="s">
        <v>107</v>
      </c>
      <c r="G5" s="41">
        <v>250</v>
      </c>
      <c r="H5" s="13"/>
      <c r="I5" s="41"/>
    </row>
    <row r="6" spans="1:9" x14ac:dyDescent="0.55000000000000004">
      <c r="A6" s="37" t="s">
        <v>73</v>
      </c>
      <c r="B6" s="38">
        <v>400</v>
      </c>
      <c r="D6" s="13" t="s">
        <v>97</v>
      </c>
      <c r="E6" s="41">
        <v>150</v>
      </c>
      <c r="F6" s="13" t="s">
        <v>103</v>
      </c>
      <c r="G6" s="41">
        <v>200</v>
      </c>
      <c r="H6" s="13"/>
      <c r="I6" s="41"/>
    </row>
    <row r="7" spans="1:9" x14ac:dyDescent="0.55000000000000004">
      <c r="A7" s="37" t="s">
        <v>10</v>
      </c>
      <c r="B7" s="38">
        <v>300</v>
      </c>
      <c r="D7" s="13" t="s">
        <v>100</v>
      </c>
      <c r="E7" s="41">
        <v>1200</v>
      </c>
      <c r="F7" s="13" t="s">
        <v>104</v>
      </c>
      <c r="G7" s="41">
        <v>150</v>
      </c>
      <c r="H7" s="13"/>
      <c r="I7" s="41"/>
    </row>
    <row r="8" spans="1:9" x14ac:dyDescent="0.55000000000000004">
      <c r="A8" s="37" t="s">
        <v>74</v>
      </c>
      <c r="B8" s="38">
        <v>200</v>
      </c>
      <c r="D8" s="13" t="s">
        <v>101</v>
      </c>
      <c r="E8" s="41">
        <v>1400</v>
      </c>
      <c r="F8" s="13"/>
      <c r="G8" s="41"/>
      <c r="H8" s="13"/>
      <c r="I8" s="41"/>
    </row>
    <row r="9" spans="1:9" x14ac:dyDescent="0.55000000000000004">
      <c r="A9" s="37" t="s">
        <v>11</v>
      </c>
      <c r="B9" s="38">
        <v>500</v>
      </c>
      <c r="E9" s="42"/>
    </row>
    <row r="10" spans="1:9" x14ac:dyDescent="0.55000000000000004">
      <c r="A10" s="37" t="s">
        <v>9</v>
      </c>
      <c r="B10" s="38">
        <v>400</v>
      </c>
      <c r="E10" s="42"/>
    </row>
    <row r="11" spans="1:9" x14ac:dyDescent="0.55000000000000004">
      <c r="A11" s="37" t="s">
        <v>12</v>
      </c>
      <c r="B11" s="38">
        <v>250</v>
      </c>
      <c r="E11" s="42"/>
    </row>
    <row r="12" spans="1:9" x14ac:dyDescent="0.55000000000000004">
      <c r="A12" s="37" t="s">
        <v>70</v>
      </c>
      <c r="B12" s="38">
        <v>400</v>
      </c>
    </row>
    <row r="13" spans="1:9" x14ac:dyDescent="0.55000000000000004">
      <c r="A13" s="37" t="s">
        <v>71</v>
      </c>
      <c r="B13" s="38">
        <v>300</v>
      </c>
      <c r="I13" t="s">
        <v>111</v>
      </c>
    </row>
    <row r="14" spans="1:9" x14ac:dyDescent="0.55000000000000004">
      <c r="A14" s="37" t="s">
        <v>13</v>
      </c>
      <c r="B14" s="38">
        <v>400</v>
      </c>
    </row>
    <row r="15" spans="1:9" x14ac:dyDescent="0.55000000000000004">
      <c r="A15" s="37" t="s">
        <v>8</v>
      </c>
      <c r="B15" s="38">
        <v>300</v>
      </c>
    </row>
    <row r="16" spans="1:9" x14ac:dyDescent="0.55000000000000004">
      <c r="A16" s="37" t="s">
        <v>14</v>
      </c>
      <c r="B16" s="38">
        <v>250</v>
      </c>
    </row>
    <row r="17" spans="1:2" x14ac:dyDescent="0.55000000000000004">
      <c r="A17" s="37" t="s">
        <v>75</v>
      </c>
      <c r="B17" s="38">
        <v>150</v>
      </c>
    </row>
    <row r="18" spans="1:2" x14ac:dyDescent="0.55000000000000004">
      <c r="A18" s="37" t="s">
        <v>15</v>
      </c>
      <c r="B18" s="38">
        <v>250</v>
      </c>
    </row>
    <row r="19" spans="1:2" x14ac:dyDescent="0.55000000000000004">
      <c r="A19" s="37" t="s">
        <v>16</v>
      </c>
      <c r="B19" s="38">
        <v>150</v>
      </c>
    </row>
    <row r="20" spans="1:2" x14ac:dyDescent="0.55000000000000004">
      <c r="A20" s="37" t="s">
        <v>17</v>
      </c>
      <c r="B20" s="38">
        <v>300</v>
      </c>
    </row>
    <row r="21" spans="1:2" x14ac:dyDescent="0.55000000000000004">
      <c r="A21" s="37" t="s">
        <v>77</v>
      </c>
      <c r="B21" s="38">
        <v>800</v>
      </c>
    </row>
    <row r="22" spans="1:2" x14ac:dyDescent="0.55000000000000004">
      <c r="A22" s="37" t="s">
        <v>78</v>
      </c>
      <c r="B22" s="38">
        <v>150</v>
      </c>
    </row>
    <row r="23" spans="1:2" x14ac:dyDescent="0.55000000000000004">
      <c r="A23" s="37" t="s">
        <v>87</v>
      </c>
      <c r="B23" s="38">
        <v>800</v>
      </c>
    </row>
    <row r="24" spans="1:2" x14ac:dyDescent="0.55000000000000004">
      <c r="A24" s="37" t="s">
        <v>79</v>
      </c>
      <c r="B24" s="38">
        <v>400</v>
      </c>
    </row>
    <row r="25" spans="1:2" x14ac:dyDescent="0.55000000000000004">
      <c r="A25" s="37" t="s">
        <v>80</v>
      </c>
      <c r="B25" s="38">
        <v>300</v>
      </c>
    </row>
    <row r="26" spans="1:2" x14ac:dyDescent="0.55000000000000004">
      <c r="A26" s="37" t="s">
        <v>81</v>
      </c>
      <c r="B26" s="38">
        <v>150</v>
      </c>
    </row>
    <row r="27" spans="1:2" x14ac:dyDescent="0.55000000000000004">
      <c r="A27" s="37" t="s">
        <v>86</v>
      </c>
      <c r="B27" s="38">
        <v>600</v>
      </c>
    </row>
    <row r="28" spans="1:2" x14ac:dyDescent="0.55000000000000004">
      <c r="A28" s="37" t="s">
        <v>82</v>
      </c>
      <c r="B28" s="38">
        <v>400</v>
      </c>
    </row>
    <row r="29" spans="1:2" x14ac:dyDescent="0.55000000000000004">
      <c r="A29" s="37" t="s">
        <v>83</v>
      </c>
      <c r="B29" s="38">
        <v>250</v>
      </c>
    </row>
    <row r="30" spans="1:2" x14ac:dyDescent="0.55000000000000004">
      <c r="A30" s="37" t="s">
        <v>84</v>
      </c>
      <c r="B30" s="38">
        <v>150</v>
      </c>
    </row>
    <row r="31" spans="1:2" x14ac:dyDescent="0.55000000000000004">
      <c r="A31" s="37" t="s">
        <v>88</v>
      </c>
      <c r="B31" s="38">
        <v>800</v>
      </c>
    </row>
    <row r="32" spans="1:2" x14ac:dyDescent="0.55000000000000004">
      <c r="A32" s="37" t="s">
        <v>85</v>
      </c>
      <c r="B32" s="38">
        <v>300</v>
      </c>
    </row>
    <row r="33" spans="1:2" x14ac:dyDescent="0.55000000000000004">
      <c r="A33" s="37" t="s">
        <v>89</v>
      </c>
      <c r="B33" s="38">
        <v>1200</v>
      </c>
    </row>
    <row r="34" spans="1:2" x14ac:dyDescent="0.55000000000000004">
      <c r="A34" s="37" t="s">
        <v>90</v>
      </c>
      <c r="B34" s="38">
        <v>200</v>
      </c>
    </row>
    <row r="35" spans="1:2" x14ac:dyDescent="0.55000000000000004">
      <c r="A35" s="37" t="s">
        <v>92</v>
      </c>
      <c r="B35" s="38">
        <v>1400</v>
      </c>
    </row>
    <row r="36" spans="1:2" x14ac:dyDescent="0.55000000000000004">
      <c r="A36" s="37" t="s">
        <v>91</v>
      </c>
      <c r="B36" s="38">
        <v>300</v>
      </c>
    </row>
    <row r="37" spans="1:2" x14ac:dyDescent="0.55000000000000004">
      <c r="A37" s="37"/>
      <c r="B37" s="38"/>
    </row>
    <row r="38" spans="1:2" x14ac:dyDescent="0.55000000000000004">
      <c r="A38" s="37"/>
      <c r="B38" s="38"/>
    </row>
    <row r="39" spans="1:2" ht="14.7" thickBot="1" x14ac:dyDescent="0.6">
      <c r="A39" s="39"/>
      <c r="B39" s="40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AD804-CF2D-44BA-9020-A57653675358}">
  <sheetPr codeName="Sheet3"/>
  <dimension ref="A1:H32"/>
  <sheetViews>
    <sheetView topLeftCell="A2" workbookViewId="0">
      <selection activeCell="D23" sqref="D23"/>
    </sheetView>
  </sheetViews>
  <sheetFormatPr defaultRowHeight="14.4" x14ac:dyDescent="0.55000000000000004"/>
  <cols>
    <col min="1" max="1" width="5.3125" bestFit="1" customWidth="1"/>
    <col min="2" max="2" width="45.3125" bestFit="1" customWidth="1"/>
    <col min="3" max="3" width="6.3125" bestFit="1" customWidth="1"/>
    <col min="4" max="4" width="4.3125" bestFit="1" customWidth="1"/>
    <col min="5" max="5" width="26.3125" bestFit="1" customWidth="1"/>
    <col min="8" max="8" width="10.3125" bestFit="1" customWidth="1"/>
  </cols>
  <sheetData>
    <row r="1" spans="1:7" x14ac:dyDescent="0.55000000000000004">
      <c r="B1" s="12" t="s">
        <v>24</v>
      </c>
      <c r="F1" s="12"/>
    </row>
    <row r="2" spans="1:7" x14ac:dyDescent="0.55000000000000004">
      <c r="A2" s="13"/>
      <c r="B2" s="13"/>
      <c r="C2" s="13"/>
      <c r="D2" s="13"/>
      <c r="E2" s="13"/>
      <c r="F2" s="13"/>
      <c r="G2" s="13"/>
    </row>
    <row r="3" spans="1:7" x14ac:dyDescent="0.55000000000000004">
      <c r="A3" s="13"/>
      <c r="B3" s="13"/>
      <c r="C3" s="13"/>
      <c r="D3" s="13"/>
      <c r="E3" s="13"/>
      <c r="F3" s="13"/>
      <c r="G3" s="13"/>
    </row>
    <row r="4" spans="1:7" x14ac:dyDescent="0.55000000000000004">
      <c r="A4" s="14" t="s">
        <v>6</v>
      </c>
      <c r="B4" s="14" t="s">
        <v>7</v>
      </c>
      <c r="C4" s="14" t="s">
        <v>25</v>
      </c>
      <c r="D4" s="14" t="s">
        <v>26</v>
      </c>
      <c r="E4" s="15" t="s">
        <v>27</v>
      </c>
      <c r="F4" s="16" t="s">
        <v>64</v>
      </c>
      <c r="G4" s="13"/>
    </row>
    <row r="5" spans="1:7" x14ac:dyDescent="0.55000000000000004">
      <c r="A5" s="16"/>
      <c r="B5" s="16"/>
      <c r="C5" s="16"/>
      <c r="D5" s="16"/>
      <c r="E5" s="16"/>
      <c r="F5" s="16"/>
      <c r="G5" s="13"/>
    </row>
    <row r="6" spans="1:7" x14ac:dyDescent="0.55000000000000004">
      <c r="A6" s="13" t="s">
        <v>28</v>
      </c>
      <c r="B6" s="13" t="s">
        <v>29</v>
      </c>
      <c r="C6" s="13" t="s">
        <v>30</v>
      </c>
      <c r="D6" s="17">
        <v>2</v>
      </c>
      <c r="E6" s="13" t="s">
        <v>31</v>
      </c>
      <c r="F6" s="13">
        <v>1</v>
      </c>
      <c r="G6" s="13"/>
    </row>
    <row r="7" spans="1:7" x14ac:dyDescent="0.55000000000000004">
      <c r="A7" s="13" t="s">
        <v>32</v>
      </c>
      <c r="B7" s="13" t="s">
        <v>33</v>
      </c>
      <c r="C7" s="13" t="s">
        <v>30</v>
      </c>
      <c r="D7" s="17">
        <v>2</v>
      </c>
      <c r="E7" s="13" t="s">
        <v>34</v>
      </c>
      <c r="F7" s="13">
        <v>1</v>
      </c>
      <c r="G7" s="13"/>
    </row>
    <row r="8" spans="1:7" x14ac:dyDescent="0.55000000000000004">
      <c r="A8" s="13" t="s">
        <v>35</v>
      </c>
      <c r="B8" s="13" t="s">
        <v>36</v>
      </c>
      <c r="C8" s="13" t="s">
        <v>30</v>
      </c>
      <c r="D8" s="17">
        <v>3</v>
      </c>
      <c r="E8" s="13" t="s">
        <v>34</v>
      </c>
      <c r="F8" s="13">
        <v>1</v>
      </c>
      <c r="G8" s="13"/>
    </row>
    <row r="9" spans="1:7" x14ac:dyDescent="0.55000000000000004">
      <c r="A9" s="13" t="s">
        <v>37</v>
      </c>
      <c r="B9" s="13" t="s">
        <v>38</v>
      </c>
      <c r="C9" s="13" t="s">
        <v>30</v>
      </c>
      <c r="D9" s="17">
        <v>1</v>
      </c>
      <c r="E9" s="13" t="s">
        <v>39</v>
      </c>
      <c r="F9" s="13">
        <v>1</v>
      </c>
      <c r="G9" s="13"/>
    </row>
    <row r="10" spans="1:7" x14ac:dyDescent="0.55000000000000004">
      <c r="A10" s="13" t="s">
        <v>40</v>
      </c>
      <c r="B10" s="13" t="s">
        <v>41</v>
      </c>
      <c r="C10" s="13" t="s">
        <v>30</v>
      </c>
      <c r="D10" s="17">
        <v>3</v>
      </c>
      <c r="E10" s="13" t="s">
        <v>34</v>
      </c>
      <c r="F10" s="13">
        <v>4</v>
      </c>
      <c r="G10" s="13"/>
    </row>
    <row r="11" spans="1:7" x14ac:dyDescent="0.55000000000000004">
      <c r="A11" s="13" t="s">
        <v>42</v>
      </c>
      <c r="B11" s="13" t="s">
        <v>43</v>
      </c>
      <c r="C11" s="13" t="s">
        <v>30</v>
      </c>
      <c r="D11" s="17">
        <v>3</v>
      </c>
      <c r="E11" s="13" t="s">
        <v>44</v>
      </c>
      <c r="F11" s="13">
        <v>4</v>
      </c>
      <c r="G11" s="13"/>
    </row>
    <row r="12" spans="1:7" x14ac:dyDescent="0.55000000000000004">
      <c r="A12" s="13" t="s">
        <v>45</v>
      </c>
      <c r="B12" s="13" t="s">
        <v>46</v>
      </c>
      <c r="C12" s="13" t="s">
        <v>30</v>
      </c>
      <c r="D12" s="17">
        <v>3</v>
      </c>
      <c r="E12" s="13" t="s">
        <v>47</v>
      </c>
      <c r="F12" s="13">
        <v>5</v>
      </c>
      <c r="G12" s="13"/>
    </row>
    <row r="13" spans="1:7" x14ac:dyDescent="0.55000000000000004">
      <c r="A13" s="13" t="s">
        <v>48</v>
      </c>
      <c r="B13" s="13" t="s">
        <v>49</v>
      </c>
      <c r="C13" s="13" t="s">
        <v>30</v>
      </c>
      <c r="D13" s="17">
        <v>1</v>
      </c>
      <c r="E13" s="13" t="s">
        <v>34</v>
      </c>
      <c r="F13" s="13">
        <v>3</v>
      </c>
      <c r="G13" s="13"/>
    </row>
    <row r="14" spans="1:7" x14ac:dyDescent="0.55000000000000004">
      <c r="A14" s="13" t="s">
        <v>50</v>
      </c>
      <c r="B14" s="13" t="s">
        <v>51</v>
      </c>
      <c r="C14" s="13" t="s">
        <v>30</v>
      </c>
      <c r="D14" s="17">
        <v>3</v>
      </c>
      <c r="E14" s="13" t="s">
        <v>34</v>
      </c>
      <c r="F14" s="13">
        <v>4</v>
      </c>
      <c r="G14" s="13"/>
    </row>
    <row r="15" spans="1:7" x14ac:dyDescent="0.55000000000000004">
      <c r="A15" s="13" t="s">
        <v>52</v>
      </c>
      <c r="B15" s="13" t="s">
        <v>53</v>
      </c>
      <c r="C15" s="13" t="s">
        <v>30</v>
      </c>
      <c r="D15" s="17">
        <v>1</v>
      </c>
      <c r="E15" s="13" t="s">
        <v>34</v>
      </c>
      <c r="F15" s="13">
        <v>4</v>
      </c>
      <c r="G15" s="13"/>
    </row>
    <row r="16" spans="1:7" x14ac:dyDescent="0.55000000000000004">
      <c r="A16" s="13" t="s">
        <v>54</v>
      </c>
      <c r="B16" s="13" t="s">
        <v>55</v>
      </c>
      <c r="C16" s="13" t="s">
        <v>30</v>
      </c>
      <c r="D16" s="17">
        <v>3</v>
      </c>
      <c r="E16" s="13" t="s">
        <v>34</v>
      </c>
      <c r="F16" s="13">
        <v>4</v>
      </c>
      <c r="G16" s="13"/>
    </row>
    <row r="17" spans="1:8" x14ac:dyDescent="0.55000000000000004">
      <c r="A17" s="13" t="s">
        <v>56</v>
      </c>
      <c r="B17" s="13" t="s">
        <v>57</v>
      </c>
      <c r="C17" s="13" t="s">
        <v>30</v>
      </c>
      <c r="D17" s="17">
        <v>8</v>
      </c>
      <c r="E17" s="13" t="s">
        <v>47</v>
      </c>
      <c r="F17" s="13">
        <v>5</v>
      </c>
      <c r="G17" s="13"/>
    </row>
    <row r="18" spans="1:8" x14ac:dyDescent="0.55000000000000004">
      <c r="A18" s="13" t="s">
        <v>58</v>
      </c>
      <c r="B18" s="13" t="s">
        <v>59</v>
      </c>
      <c r="C18" s="13" t="s">
        <v>30</v>
      </c>
      <c r="D18" s="17">
        <v>4</v>
      </c>
      <c r="E18" s="13" t="s">
        <v>60</v>
      </c>
      <c r="F18" s="13">
        <v>6</v>
      </c>
      <c r="G18" s="13"/>
    </row>
    <row r="19" spans="1:8" x14ac:dyDescent="0.55000000000000004">
      <c r="A19" s="13" t="s">
        <v>61</v>
      </c>
      <c r="B19" s="13" t="s">
        <v>62</v>
      </c>
      <c r="C19" s="13" t="s">
        <v>30</v>
      </c>
      <c r="D19" s="17">
        <v>4</v>
      </c>
      <c r="E19" s="13" t="s">
        <v>63</v>
      </c>
      <c r="F19" s="13">
        <v>8</v>
      </c>
      <c r="G19" s="13"/>
    </row>
    <row r="20" spans="1:8" x14ac:dyDescent="0.55000000000000004">
      <c r="A20" s="13"/>
      <c r="B20" s="13"/>
      <c r="C20" s="13"/>
      <c r="D20" s="13"/>
      <c r="E20" s="13"/>
      <c r="F20" s="13"/>
      <c r="G20" s="13"/>
    </row>
    <row r="21" spans="1:8" x14ac:dyDescent="0.55000000000000004">
      <c r="A21" s="13"/>
      <c r="B21" s="13"/>
      <c r="C21" s="13"/>
      <c r="D21" s="13"/>
      <c r="E21" s="13"/>
      <c r="F21" s="13"/>
      <c r="G21" s="13"/>
    </row>
    <row r="22" spans="1:8" x14ac:dyDescent="0.55000000000000004">
      <c r="A22" s="13"/>
      <c r="B22" s="13"/>
      <c r="C22" s="13"/>
      <c r="D22" s="13"/>
      <c r="E22" s="13"/>
      <c r="F22" s="13"/>
      <c r="G22" s="13"/>
    </row>
    <row r="23" spans="1:8" x14ac:dyDescent="0.55000000000000004">
      <c r="A23" s="13"/>
      <c r="B23" s="13"/>
      <c r="C23" s="13"/>
      <c r="D23" s="13"/>
      <c r="E23" s="13"/>
      <c r="F23" s="13"/>
      <c r="G23" s="13"/>
    </row>
    <row r="24" spans="1:8" x14ac:dyDescent="0.55000000000000004">
      <c r="A24" s="13"/>
      <c r="B24" s="13"/>
      <c r="C24" s="13"/>
      <c r="D24" s="13"/>
      <c r="E24" s="13"/>
      <c r="F24" s="13"/>
      <c r="G24" s="13"/>
    </row>
    <row r="30" spans="1:8" x14ac:dyDescent="0.55000000000000004">
      <c r="F30" s="11"/>
      <c r="H30" s="18"/>
    </row>
    <row r="31" spans="1:8" x14ac:dyDescent="0.55000000000000004">
      <c r="F31" s="11"/>
      <c r="H31" s="18"/>
    </row>
    <row r="32" spans="1:8" x14ac:dyDescent="0.55000000000000004">
      <c r="F32" s="11"/>
      <c r="H32" s="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1636c2-57ee-4676-a68f-186e1d325c41" xsi:nil="true"/>
    <lcf76f155ced4ddcb4097134ff3c332f xmlns="1b33d56c-d3a3-4517-997d-54a71b61f7b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A31CDC0300E74989900558F35DDCB2" ma:contentTypeVersion="16" ma:contentTypeDescription="Create a new document." ma:contentTypeScope="" ma:versionID="0ce3bcbf47521554d3a0a8b8661b10c7">
  <xsd:schema xmlns:xsd="http://www.w3.org/2001/XMLSchema" xmlns:xs="http://www.w3.org/2001/XMLSchema" xmlns:p="http://schemas.microsoft.com/office/2006/metadata/properties" xmlns:ns2="1b33d56c-d3a3-4517-997d-54a71b61f7b7" xmlns:ns3="da1636c2-57ee-4676-a68f-186e1d325c41" targetNamespace="http://schemas.microsoft.com/office/2006/metadata/properties" ma:root="true" ma:fieldsID="728466f6ae5f7b4f4b169740dfc84c0e" ns2:_="" ns3:_="">
    <xsd:import namespace="1b33d56c-d3a3-4517-997d-54a71b61f7b7"/>
    <xsd:import namespace="da1636c2-57ee-4676-a68f-186e1d325c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33d56c-d3a3-4517-997d-54a71b61f7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4d5e231-31cb-40b6-b69d-79dbda3344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1636c2-57ee-4676-a68f-186e1d325c4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d2161fa-a8d3-4ede-a106-d0ac54982587}" ma:internalName="TaxCatchAll" ma:showField="CatchAllData" ma:web="da1636c2-57ee-4676-a68f-186e1d325c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B308E6-7284-433F-9774-EAEF2973A310}">
  <ds:schemaRefs>
    <ds:schemaRef ds:uri="http://schemas.microsoft.com/office/2006/metadata/properties"/>
    <ds:schemaRef ds:uri="http://schemas.microsoft.com/office/infopath/2007/PartnerControls"/>
    <ds:schemaRef ds:uri="da1636c2-57ee-4676-a68f-186e1d325c41"/>
    <ds:schemaRef ds:uri="1b33d56c-d3a3-4517-997d-54a71b61f7b7"/>
  </ds:schemaRefs>
</ds:datastoreItem>
</file>

<file path=customXml/itemProps2.xml><?xml version="1.0" encoding="utf-8"?>
<ds:datastoreItem xmlns:ds="http://schemas.openxmlformats.org/officeDocument/2006/customXml" ds:itemID="{E869A720-89EA-41AC-860F-30589C42D3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33d56c-d3a3-4517-997d-54a71b61f7b7"/>
    <ds:schemaRef ds:uri="da1636c2-57ee-4676-a68f-186e1d325c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FE9728-52A5-44F1-89C3-476D7933A6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RFQ</vt:lpstr>
      <vt:lpstr>Manpower Rate</vt:lpstr>
      <vt:lpstr>Detailed</vt:lpstr>
      <vt:lpstr>RFQ!Print_Area</vt:lpstr>
      <vt:lpstr>RFQ!Print_Titles</vt:lpstr>
    </vt:vector>
  </TitlesOfParts>
  <Manager/>
  <Company>Tenova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Mashudu Mbedzi</dc:creator>
  <cp:keywords/>
  <dc:description/>
  <cp:lastModifiedBy>Simbongile Bantubani</cp:lastModifiedBy>
  <cp:revision/>
  <cp:lastPrinted>2025-04-08T14:56:15Z</cp:lastPrinted>
  <dcterms:created xsi:type="dcterms:W3CDTF">2017-06-18T12:02:50Z</dcterms:created>
  <dcterms:modified xsi:type="dcterms:W3CDTF">2026-10-20T08:25:41Z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0x010100A1A31CDC0300E74989900558F35DDCB2</vt:lpwstr>
  </property>
  <property fmtid="{D5CDD505-2E9C-101B-9397-08002B2CF9AE}" pid="3" name="MediaServiceImageTags">
    <vt:lpwstr/>
  </property>
</Properties>
</file>